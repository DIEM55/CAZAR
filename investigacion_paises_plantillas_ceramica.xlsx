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nsultas" sheetId="1" state="visible" r:id="rId3"/>
    <sheet name="Remedicion_24h" sheetId="2" state="visible" r:id="rId4"/>
    <sheet name="Puntaje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E3" authorId="0">
      <text>
        <r>
          <rPr>
            <sz val="10"/>
            <rFont val="Arial"/>
            <family val="2"/>
          </rPr>
          <t xml:space="preserve">Valor medido el 28-oct-2026 (estimated_total_count). Fuente: hoja Consultas.</t>
        </r>
      </text>
    </comment>
  </commentList>
</comments>
</file>

<file path=xl/sharedStrings.xml><?xml version="1.0" encoding="utf-8"?>
<sst xmlns="http://schemas.openxmlformats.org/spreadsheetml/2006/main" count="858" uniqueCount="191">
  <si>
    <t xml:space="preserve">fecha</t>
  </si>
  <si>
    <t xml:space="preserve">país</t>
  </si>
  <si>
    <t xml:space="preserve">término</t>
  </si>
  <si>
    <t xml:space="preserve">page_ids</t>
  </si>
  <si>
    <t xml:space="preserve">estado</t>
  </si>
  <si>
    <t xml:space="preserve">limit</t>
  </si>
  <si>
    <t xml:space="preserve">estimated_total_count</t>
  </si>
  <si>
    <t xml:space="preserve">ads devueltos</t>
  </si>
  <si>
    <t xml:space="preserve">nota / resultado</t>
  </si>
  <si>
    <t xml:space="preserve">2026-10-28</t>
  </si>
  <si>
    <t xml:space="preserve">(sin país)</t>
  </si>
  <si>
    <t xml:space="preserve">-</t>
  </si>
  <si>
    <t xml:space="preserve">860004577196412,121307754391874</t>
  </si>
  <si>
    <t xml:space="preserve">ACTIVE</t>
  </si>
  <si>
    <t xml:space="preserve">creación ads devueltos 22-oct-2026 aprox; títulos FR/PL/IL/DK/ES</t>
  </si>
  <si>
    <t xml:space="preserve">MX</t>
  </si>
  <si>
    <t xml:space="preserve">competidor</t>
  </si>
  <si>
    <t xml:space="preserve">intento 1</t>
  </si>
  <si>
    <t xml:space="preserve">IL</t>
  </si>
  <si>
    <t xml:space="preserve">ads creados ~22-oct</t>
  </si>
  <si>
    <t xml:space="preserve">PL</t>
  </si>
  <si>
    <t xml:space="preserve">TR</t>
  </si>
  <si>
    <t xml:space="preserve">intento 1 (27-oct usuario vio 34)</t>
  </si>
  <si>
    <t xml:space="preserve">DK</t>
  </si>
  <si>
    <t xml:space="preserve">ALL</t>
  </si>
  <si>
    <t xml:space="preserve">historial total de ambas páginas</t>
  </si>
  <si>
    <t xml:space="preserve">INACTIVE</t>
  </si>
  <si>
    <t xml:space="preserve">inactivos vistos creados 22-oct (DK,CZ,IT,EN "Pottery Template Bible")</t>
  </si>
  <si>
    <t xml:space="preserve">FR</t>
  </si>
  <si>
    <t xml:space="preserve">creados ~22-oct</t>
  </si>
  <si>
    <t xml:space="preserve">ES</t>
  </si>
  <si>
    <t xml:space="preserve">CL</t>
  </si>
  <si>
    <t xml:space="preserve">PE</t>
  </si>
  <si>
    <t xml:space="preserve">UY</t>
  </si>
  <si>
    <t xml:space="preserve">EC</t>
  </si>
  <si>
    <t xml:space="preserve">CR</t>
  </si>
  <si>
    <t xml:space="preserve">PA</t>
  </si>
  <si>
    <t xml:space="preserve">DO</t>
  </si>
  <si>
    <t xml:space="preserve">GT</t>
  </si>
  <si>
    <t xml:space="preserve">AR</t>
  </si>
  <si>
    <t xml:space="preserve">creado 26-oct</t>
  </si>
  <si>
    <t xml:space="preserve">La Biblia de las Plantillas Cerámicas</t>
  </si>
  <si>
    <t xml:space="preserve">solo 1 ad activo con título ES (Ceramicaemprendedor, entrega desde 24-oct)</t>
  </si>
  <si>
    <t xml:space="preserve">ads Cerámica.Emprendedor de nov-2025 ('GRUPO GRATUITO DE CERÁMICA') y abr-2026; 0 activos</t>
  </si>
  <si>
    <t xml:space="preserve">intento 1 ALL; ni activos ni historial</t>
  </si>
  <si>
    <t xml:space="preserve">título ES, creados 19-oct-2026; 0 activos hoy =&gt; probó y paró</t>
  </si>
  <si>
    <t xml:space="preserve">'GRUPO GRATUITO DE CERÁMICA' nov-2025; 0 activos</t>
  </si>
  <si>
    <t xml:space="preserve">ALL=ACTIVE=39; creados 22-oct</t>
  </si>
  <si>
    <t xml:space="preserve">38 activos</t>
  </si>
  <si>
    <t xml:space="preserve">25 activos</t>
  </si>
  <si>
    <t xml:space="preserve">CZ</t>
  </si>
  <si>
    <t xml:space="preserve">SK</t>
  </si>
  <si>
    <t xml:space="preserve">HU</t>
  </si>
  <si>
    <t xml:space="preserve">RO</t>
  </si>
  <si>
    <t xml:space="preserve">FI</t>
  </si>
  <si>
    <t xml:space="preserve">GR</t>
  </si>
  <si>
    <t xml:space="preserve">BG</t>
  </si>
  <si>
    <t xml:space="preserve">HR</t>
  </si>
  <si>
    <t xml:space="preserve">título CZ, creados 22-oct; 0 activos =&gt; paró</t>
  </si>
  <si>
    <t xml:space="preserve">título SK, creado 13-oct; 0 activos =&gt; paró</t>
  </si>
  <si>
    <t xml:space="preserve">título HU recetas, creado 13-oct; 0 activos =&gt; paró</t>
  </si>
  <si>
    <t xml:space="preserve">título RO, creado 09-oct; 0 activos =&gt; paró</t>
  </si>
  <si>
    <t xml:space="preserve">título FI, creado 09-oct; 0 activos =&gt; paró</t>
  </si>
  <si>
    <t xml:space="preserve">45 activos</t>
  </si>
  <si>
    <t xml:space="preserve">IT</t>
  </si>
  <si>
    <t xml:space="preserve">título IT, creados 22-oct</t>
  </si>
  <si>
    <t xml:space="preserve">2 activos (26-oct)</t>
  </si>
  <si>
    <t xml:space="preserve">paró</t>
  </si>
  <si>
    <t xml:space="preserve">US</t>
  </si>
  <si>
    <t xml:space="preserve">PY</t>
  </si>
  <si>
    <t xml:space="preserve">BO</t>
  </si>
  <si>
    <t xml:space="preserve">plantillas cerámica</t>
  </si>
  <si>
    <t xml:space="preserve">Tu Negocio Artesanal (desde 28-oct), La Biblia de la Porcelana Fría (desde 26-oct), Cerâmica Fria em Casa (27-oct, BRL), Mundo Sublimación (jul-2026, sublimación); ninguno vende plantillas</t>
  </si>
  <si>
    <t xml:space="preserve">incluye 6 ads de Ebooks del Futuro (propia) desde 22-oct; resto igual que MX</t>
  </si>
  <si>
    <t xml:space="preserve">igual que MX + Nicolle Zeballos Studio (clases presenciales)</t>
  </si>
  <si>
    <t xml:space="preserve">mismos anunciantes panregionales</t>
  </si>
  <si>
    <t xml:space="preserve">plantillas arcilla</t>
  </si>
  <si>
    <t xml:space="preserve">Mi Taller de Arcilla (curso 'ULTIMOS CUPOS', desde 22-oct y sumando ads 26 y 28-oct)</t>
  </si>
  <si>
    <t xml:space="preserve">Barro Perfecto</t>
  </si>
  <si>
    <t xml:space="preserve">búsqueda difusa, sin resultados relevantes</t>
  </si>
  <si>
    <t xml:space="preserve">Sistema Arcilla en Casa</t>
  </si>
  <si>
    <t xml:space="preserve">HI MERY</t>
  </si>
  <si>
    <t xml:space="preserve">CraftPreneur</t>
  </si>
  <si>
    <t xml:space="preserve">página CraftPreneur 1262921676915896 encontrada</t>
  </si>
  <si>
    <t xml:space="preserve">CraftPreneur 1262921676915896</t>
  </si>
  <si>
    <t xml:space="preserve">vende moldes de cartonaje (cajas), no cerámica</t>
  </si>
  <si>
    <t xml:space="preserve">ad del 28-oct</t>
  </si>
  <si>
    <t xml:space="preserve">Tu Negocio Artesanal 945696721952913</t>
  </si>
  <si>
    <t xml:space="preserve">ads cerámica del 28-oct; página multiproducto (cajas premium desde 11-oct)</t>
  </si>
  <si>
    <t xml:space="preserve">taza</t>
  </si>
  <si>
    <t xml:space="preserve">Ebooks del Futuro 725759253957744</t>
  </si>
  <si>
    <t xml:space="preserve">propios: 'Tu primera taza, sin experiencia', 'Arma tu propia línea de cerámica'</t>
  </si>
  <si>
    <t xml:space="preserve">Ebooks del Futuro</t>
  </si>
  <si>
    <t xml:space="preserve">propios</t>
  </si>
  <si>
    <t xml:space="preserve">propios total</t>
  </si>
  <si>
    <t xml:space="preserve">Seramik Kesim Şablonları</t>
  </si>
  <si>
    <t xml:space="preserve">2 ads Ceramicaemprendedor, creados 04-oct, entrega desde 08-oct y 11-oct</t>
  </si>
  <si>
    <t xml:space="preserve">seramik şablon</t>
  </si>
  <si>
    <t xml:space="preserve">ClayGo.tr vende sets físicos de 'Kesici Şablon' (desde 18-oct); Hera Seramik Evi</t>
  </si>
  <si>
    <t xml:space="preserve">Ceramicaemprendedor 860004577196412</t>
  </si>
  <si>
    <t xml:space="preserve">intento 2 (solo una página)</t>
  </si>
  <si>
    <t xml:space="preserve">los 2 ads TR figuran ACTIVOS pero no aparecen con filtro TR =&gt; SIN CONFIRMAR</t>
  </si>
  <si>
    <t xml:space="preserve">ClayGo.tr 610420008831177</t>
  </si>
  <si>
    <t xml:space="preserve">tienda física de herramientas/plantillas de cerámica, activa desde 01-oct</t>
  </si>
  <si>
    <t xml:space="preserve">ביבליית השבלונות לקרמיקה</t>
  </si>
  <si>
    <t xml:space="preserve">todos Ceramicaemprendedor</t>
  </si>
  <si>
    <t xml:space="preserve">שבלונות קרמיקה</t>
  </si>
  <si>
    <t xml:space="preserve">todos Ceramicaemprendedor; tandas 13-oct,15-oct,22-oct</t>
  </si>
  <si>
    <t xml:space="preserve">szablony ceramika</t>
  </si>
  <si>
    <t xml:space="preserve">Ceramic Witch (22-oct), resto irrelevante</t>
  </si>
  <si>
    <t xml:space="preserve">keramik skabeloner</t>
  </si>
  <si>
    <t xml:space="preserve">Krea-u (curso presencial 'lerkursus', 29-sep)</t>
  </si>
  <si>
    <t xml:space="preserve">Biblia Szablonów do Ceramiki</t>
  </si>
  <si>
    <t xml:space="preserve">ad activo más antiguo entrega 04-oct (24 días); tandas 03-oct,05-oct,22-oct</t>
  </si>
  <si>
    <t xml:space="preserve">ad activo más antiguo entrega 07-oct (21 días); tandas 05-oct,16-oct,22-oct</t>
  </si>
  <si>
    <t xml:space="preserve">ad activo más antiguo entrega 09-oct (19 días); ningún ad pausado (ALL=39)</t>
  </si>
  <si>
    <t xml:space="preserve">ad activo más antiguo entrega 09-oct (19 días)</t>
  </si>
  <si>
    <t xml:space="preserve">Cerámica.Emprendedor (ARS) oct-nov 2025 y abr-2026; 2 activos nuevos (26-oct, sin título)</t>
  </si>
  <si>
    <t xml:space="preserve">UA,RS,SI,LT,LV,EE,GE,AM,AZ,KZ,MD,BA,MK,AL</t>
  </si>
  <si>
    <t xml:space="preserve">título HR/BS/SR 'Biblija šablona za keramiku' creado 13-oct</t>
  </si>
  <si>
    <t xml:space="preserve">AE,SA,QA,KW,BH,OM,JO,LB,EG,MA</t>
  </si>
  <si>
    <t xml:space="preserve">nunca visto (fuera UE: dato débil)</t>
  </si>
  <si>
    <t xml:space="preserve">JP,KR,TW,HK,SG,MY,PH,TH,VN,ID,IN</t>
  </si>
  <si>
    <t xml:space="preserve">SV,HN,NI,VE,PR,CU</t>
  </si>
  <si>
    <t xml:space="preserve">nunca visto</t>
  </si>
  <si>
    <t xml:space="preserve">GR,BG,HR,CY</t>
  </si>
  <si>
    <t xml:space="preserve">título GR creado 16-oct; 0 activos en GR/BG/HR =&gt; paró</t>
  </si>
  <si>
    <t xml:space="preserve">UA,RS,SI,LT,LV,EE,GE,AM,AZ,KZ,MD,BA,MK,AL,CY</t>
  </si>
  <si>
    <t xml:space="preserve">paró en todo el grupo</t>
  </si>
  <si>
    <t xml:space="preserve">KZ</t>
  </si>
  <si>
    <t xml:space="preserve">керамика шаблоны</t>
  </si>
  <si>
    <t xml:space="preserve">UA</t>
  </si>
  <si>
    <t xml:space="preserve">шаблони для кераміки</t>
  </si>
  <si>
    <t xml:space="preserve">búsqueda difusa; solo Centro de Cerámica Ivano-Frankivsk relevante</t>
  </si>
  <si>
    <t xml:space="preserve">AE</t>
  </si>
  <si>
    <t xml:space="preserve">قوالب السيراميك</t>
  </si>
  <si>
    <t xml:space="preserve">pottery templates</t>
  </si>
  <si>
    <t xml:space="preserve">The Clay Blueprints (28-oct)</t>
  </si>
  <si>
    <t xml:space="preserve">PH</t>
  </si>
  <si>
    <t xml:space="preserve">The Clay Blueprints 1343302345522178</t>
  </si>
  <si>
    <t xml:space="preserve">The Clay Blueprints</t>
  </si>
  <si>
    <t xml:space="preserve">historial en AE desde 25-sep</t>
  </si>
  <si>
    <t xml:space="preserve">SA</t>
  </si>
  <si>
    <t xml:space="preserve">SG</t>
  </si>
  <si>
    <t xml:space="preserve">solo 1 activo (28-oct) de 56 =&gt; probó y pausó la mayoría</t>
  </si>
  <si>
    <t xml:space="preserve">ambos del 28-oct</t>
  </si>
  <si>
    <t xml:space="preserve">QA,KW,BH,OM</t>
  </si>
  <si>
    <t xml:space="preserve">pottery templates printable</t>
  </si>
  <si>
    <t xml:space="preserve">The Clay Blueprints (activo desde 15-sep), PrintClay Studio (desde 23-oct), Pottery Blueprint (EUR, desde 01-oct)</t>
  </si>
  <si>
    <t xml:space="preserve">AE,SA,IL,MX,CL,PL,DK,TR</t>
  </si>
  <si>
    <t xml:space="preserve">PrintClay Studio 1097177920156365</t>
  </si>
  <si>
    <t xml:space="preserve">MX,CL,PE,UY,EC,PY,BO,CR,PA,DO,GT,SV,HN,NI,VE,PR</t>
  </si>
  <si>
    <t xml:space="preserve">intento 2 LatAm: confirma 0</t>
  </si>
  <si>
    <t xml:space="preserve">título local, sin page_ids</t>
  </si>
  <si>
    <t xml:space="preserve">intento 3</t>
  </si>
  <si>
    <t xml:space="preserve">PrintClay Studio</t>
  </si>
  <si>
    <t xml:space="preserve">desde 23-oct</t>
  </si>
  <si>
    <t xml:space="preserve">Instrucciones: cada 24 h repetí estas consultas con ads_library_search (page_ids competidor = 860004577196412,121307754391874) y cargá el número en la columna de la fecha. Celdas amarillas = a completar. Un salto brusco (&gt;50%) se marca 'sin confirmar' y se vuelve a mirar en 24 h.</t>
  </si>
  <si>
    <t xml:space="preserve">2026-10-29</t>
  </si>
  <si>
    <t xml:space="preserve">2026-10-30</t>
  </si>
  <si>
    <t xml:space="preserve">2026-10-31</t>
  </si>
  <si>
    <t xml:space="preserve">Δ último día</t>
  </si>
  <si>
    <t xml:space="preserve">alerta</t>
  </si>
  <si>
    <t xml:space="preserve">Ebooks del Futuro 725759253957744 (propia)</t>
  </si>
  <si>
    <t xml:space="preserve">Fórmula: Total = Poder adq. (20) + Pago tarjeta/billeteras (20) + Vacío competitivo (25) + Afinidad cerámica (15) + CPM (10) + Tamaño/idioma (10) + Época (bonus 0-5). Celdas azules = mis estimaciones (editables). Solo 'Vacío competitivo' se apoya en datos de la Biblioteca; el resto es juicio cualitativo SIN dato verificado.</t>
  </si>
  <si>
    <t xml:space="preserve">Poder adq. /20</t>
  </si>
  <si>
    <t xml:space="preserve">Pago /20</t>
  </si>
  <si>
    <t xml:space="preserve">Vacío comp. /25</t>
  </si>
  <si>
    <t xml:space="preserve">Afinidad /15</t>
  </si>
  <si>
    <t xml:space="preserve">CPM /10</t>
  </si>
  <si>
    <t xml:space="preserve">Tamaño-idioma /10</t>
  </si>
  <si>
    <t xml:space="preserve">Época +0-5</t>
  </si>
  <si>
    <t xml:space="preserve">TOTAL</t>
  </si>
  <si>
    <t xml:space="preserve">validado ≥15 d</t>
  </si>
  <si>
    <t xml:space="preserve">base del vacío competitivo (Biblioteca 28-oct)</t>
  </si>
  <si>
    <t xml:space="preserve">Sí (19 d)</t>
  </si>
  <si>
    <t xml:space="preserve">Ceramicaemprendedor 39 activos, ninguno pausado; sin PrintClay ni Clay Blueprints</t>
  </si>
  <si>
    <t xml:space="preserve">Sí (24 d)</t>
  </si>
  <si>
    <t xml:space="preserve">Ceramicaemprendedor 38 activos/463 total + PrintClay 16</t>
  </si>
  <si>
    <t xml:space="preserve">Sí (21 d)</t>
  </si>
  <si>
    <t xml:space="preserve">Ceramicaemprendedor 25 activos/316 total + PrintClay 27</t>
  </si>
  <si>
    <t xml:space="preserve">No</t>
  </si>
  <si>
    <t xml:space="preserve">0 vendedores de plantillas; vecinos: Mi Taller de Arcilla (5 d), Porcelana Fría (2 d). Tope 12 por falta de validación</t>
  </si>
  <si>
    <t xml:space="preserve">0 competidores; ya corren 6 ads propios desde 22-oct. Tope 12</t>
  </si>
  <si>
    <t xml:space="preserve">Sin confirmar</t>
  </si>
  <si>
    <t xml:space="preserve">2 ads del título TR 'activos' pero 0 con filtro TR; ClayGo.tr vende plantillas físicas</t>
  </si>
  <si>
    <t xml:space="preserve">0 competidores. Tope 12</t>
  </si>
  <si>
    <t xml:space="preserve">0 competidores; cobro tardó 10-15 d (dato tuyo). Tope 12</t>
  </si>
  <si>
    <t xml:space="preserve">The Clay Blueprints: 56 ads en historial AE, 1 activo =&gt; probó y pausó</t>
  </si>
  <si>
    <t xml:space="preserve">Regla vacío competitivo: 25 = demanda validada con ≤1 competidor; se resta por cada competidor activo; sin validación (≥15 d) el tope es 12 porque el vacío no prueba demanda.</t>
  </si>
  <si>
    <t xml:space="preserve">Época: bonus por fiestas y hobbies bajo techo en nov-dic (hemisferio norte más alto; hemisferio sur entra en verano).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</si>
</sst>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i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sz val="10"/>
      <name val="Arial"/>
      <family val="2"/>
    </font>
    <font>
      <b val="true"/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305496"/>
        <bgColor rgb="FF666699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2"/>
    <col collapsed="false" customWidth="true" hidden="false" outlineLevel="0" max="4" min="3" style="0" width="30"/>
    <col collapsed="false" customWidth="true" hidden="false" outlineLevel="0" max="5" min="5" style="0" width="9"/>
    <col collapsed="false" customWidth="true" hidden="false" outlineLevel="0" max="6" min="6" style="0" width="7"/>
    <col collapsed="false" customWidth="true" hidden="false" outlineLevel="0" max="7" min="7" style="0" width="12"/>
    <col collapsed="false" customWidth="true" hidden="false" outlineLevel="0" max="8" min="8" style="0" width="10"/>
    <col collapsed="false" customWidth="true" hidden="false" outlineLevel="0" max="9" min="9" style="0" width="9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" hidden="false" customHeight="false" outlineLevel="0" collapsed="false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n">
        <v>50</v>
      </c>
      <c r="G2" s="2" t="n">
        <v>166</v>
      </c>
      <c r="H2" s="2" t="n">
        <v>50</v>
      </c>
      <c r="I2" s="2" t="s">
        <v>14</v>
      </c>
    </row>
    <row r="3" customFormat="false" ht="15" hidden="false" customHeight="false" outlineLevel="0" collapsed="false">
      <c r="A3" s="2" t="s">
        <v>9</v>
      </c>
      <c r="B3" s="2" t="s">
        <v>15</v>
      </c>
      <c r="C3" s="2" t="s">
        <v>11</v>
      </c>
      <c r="D3" s="2" t="s">
        <v>16</v>
      </c>
      <c r="E3" s="2" t="s">
        <v>13</v>
      </c>
      <c r="F3" s="2" t="n">
        <v>3</v>
      </c>
      <c r="G3" s="2" t="n">
        <v>0</v>
      </c>
      <c r="H3" s="2" t="n">
        <v>0</v>
      </c>
      <c r="I3" s="2" t="s">
        <v>17</v>
      </c>
    </row>
    <row r="4" customFormat="false" ht="15" hidden="false" customHeight="false" outlineLevel="0" collapsed="false">
      <c r="A4" s="2" t="s">
        <v>9</v>
      </c>
      <c r="B4" s="2" t="s">
        <v>18</v>
      </c>
      <c r="C4" s="2" t="s">
        <v>11</v>
      </c>
      <c r="D4" s="2" t="s">
        <v>16</v>
      </c>
      <c r="E4" s="2" t="s">
        <v>13</v>
      </c>
      <c r="F4" s="2" t="n">
        <v>3</v>
      </c>
      <c r="G4" s="2" t="n">
        <v>39</v>
      </c>
      <c r="H4" s="2" t="n">
        <v>3</v>
      </c>
      <c r="I4" s="2" t="s">
        <v>19</v>
      </c>
    </row>
    <row r="5" customFormat="false" ht="15" hidden="false" customHeight="false" outlineLevel="0" collapsed="false">
      <c r="A5" s="2" t="s">
        <v>9</v>
      </c>
      <c r="B5" s="2" t="s">
        <v>20</v>
      </c>
      <c r="C5" s="2" t="s">
        <v>11</v>
      </c>
      <c r="D5" s="2" t="s">
        <v>16</v>
      </c>
      <c r="E5" s="2" t="s">
        <v>13</v>
      </c>
      <c r="F5" s="2" t="n">
        <v>3</v>
      </c>
      <c r="G5" s="2" t="n">
        <v>38</v>
      </c>
      <c r="H5" s="2" t="n">
        <v>3</v>
      </c>
      <c r="I5" s="2" t="s">
        <v>19</v>
      </c>
    </row>
    <row r="6" customFormat="false" ht="15" hidden="false" customHeight="false" outlineLevel="0" collapsed="false">
      <c r="A6" s="2" t="s">
        <v>9</v>
      </c>
      <c r="B6" s="2" t="s">
        <v>21</v>
      </c>
      <c r="C6" s="2" t="s">
        <v>11</v>
      </c>
      <c r="D6" s="2" t="s">
        <v>16</v>
      </c>
      <c r="E6" s="2" t="s">
        <v>13</v>
      </c>
      <c r="F6" s="2" t="n">
        <v>3</v>
      </c>
      <c r="G6" s="2" t="n">
        <v>0</v>
      </c>
      <c r="H6" s="2" t="n">
        <v>0</v>
      </c>
      <c r="I6" s="2" t="s">
        <v>22</v>
      </c>
    </row>
    <row r="7" customFormat="false" ht="15" hidden="false" customHeight="false" outlineLevel="0" collapsed="false">
      <c r="A7" s="2" t="s">
        <v>9</v>
      </c>
      <c r="B7" s="2" t="s">
        <v>23</v>
      </c>
      <c r="C7" s="2" t="s">
        <v>11</v>
      </c>
      <c r="D7" s="2" t="s">
        <v>16</v>
      </c>
      <c r="E7" s="2" t="s">
        <v>13</v>
      </c>
      <c r="F7" s="2" t="n">
        <v>3</v>
      </c>
      <c r="G7" s="2" t="n">
        <v>25</v>
      </c>
      <c r="H7" s="2" t="n">
        <v>3</v>
      </c>
      <c r="I7" s="2" t="s">
        <v>19</v>
      </c>
    </row>
    <row r="8" customFormat="false" ht="15" hidden="false" customHeight="false" outlineLevel="0" collapsed="false">
      <c r="A8" s="2" t="s">
        <v>9</v>
      </c>
      <c r="B8" s="2" t="s">
        <v>10</v>
      </c>
      <c r="C8" s="2" t="s">
        <v>11</v>
      </c>
      <c r="D8" s="2" t="s">
        <v>16</v>
      </c>
      <c r="E8" s="2" t="s">
        <v>24</v>
      </c>
      <c r="F8" s="2" t="n">
        <v>2</v>
      </c>
      <c r="G8" s="2" t="n">
        <v>7221</v>
      </c>
      <c r="H8" s="2" t="n">
        <v>2</v>
      </c>
      <c r="I8" s="2" t="s">
        <v>25</v>
      </c>
    </row>
    <row r="9" customFormat="false" ht="15" hidden="false" customHeight="false" outlineLevel="0" collapsed="false">
      <c r="A9" s="2" t="s">
        <v>9</v>
      </c>
      <c r="B9" s="2" t="s">
        <v>10</v>
      </c>
      <c r="C9" s="2" t="s">
        <v>11</v>
      </c>
      <c r="D9" s="2" t="s">
        <v>16</v>
      </c>
      <c r="E9" s="2" t="s">
        <v>26</v>
      </c>
      <c r="F9" s="2" t="n">
        <v>50</v>
      </c>
      <c r="G9" s="2" t="n">
        <v>7055</v>
      </c>
      <c r="H9" s="2" t="n">
        <v>50</v>
      </c>
      <c r="I9" s="2" t="s">
        <v>27</v>
      </c>
    </row>
    <row r="10" customFormat="false" ht="15" hidden="false" customHeight="false" outlineLevel="0" collapsed="false">
      <c r="A10" s="2" t="s">
        <v>9</v>
      </c>
      <c r="B10" s="2" t="s">
        <v>28</v>
      </c>
      <c r="C10" s="2" t="s">
        <v>11</v>
      </c>
      <c r="D10" s="2" t="s">
        <v>16</v>
      </c>
      <c r="E10" s="2" t="s">
        <v>13</v>
      </c>
      <c r="F10" s="2" t="n">
        <v>1</v>
      </c>
      <c r="G10" s="2" t="n">
        <v>45</v>
      </c>
      <c r="H10" s="2" t="n">
        <v>1</v>
      </c>
      <c r="I10" s="2" t="s">
        <v>29</v>
      </c>
    </row>
    <row r="11" customFormat="false" ht="15" hidden="false" customHeight="false" outlineLevel="0" collapsed="false">
      <c r="A11" s="2" t="s">
        <v>9</v>
      </c>
      <c r="B11" s="2" t="s">
        <v>30</v>
      </c>
      <c r="C11" s="2" t="s">
        <v>11</v>
      </c>
      <c r="D11" s="2" t="s">
        <v>16</v>
      </c>
      <c r="E11" s="2" t="s">
        <v>13</v>
      </c>
      <c r="F11" s="2" t="n">
        <v>1</v>
      </c>
      <c r="G11" s="2" t="n">
        <v>0</v>
      </c>
      <c r="H11" s="2" t="n">
        <v>0</v>
      </c>
      <c r="I11" s="2" t="s">
        <v>17</v>
      </c>
    </row>
    <row r="12" customFormat="false" ht="15" hidden="false" customHeight="false" outlineLevel="0" collapsed="false">
      <c r="A12" s="2" t="s">
        <v>9</v>
      </c>
      <c r="B12" s="2" t="s">
        <v>31</v>
      </c>
      <c r="C12" s="2" t="s">
        <v>11</v>
      </c>
      <c r="D12" s="2" t="s">
        <v>16</v>
      </c>
      <c r="E12" s="2" t="s">
        <v>13</v>
      </c>
      <c r="F12" s="2" t="n">
        <v>1</v>
      </c>
      <c r="G12" s="2" t="n">
        <v>0</v>
      </c>
      <c r="H12" s="2" t="n">
        <v>0</v>
      </c>
      <c r="I12" s="2" t="s">
        <v>17</v>
      </c>
    </row>
    <row r="13" customFormat="false" ht="15" hidden="false" customHeight="false" outlineLevel="0" collapsed="false">
      <c r="A13" s="2" t="s">
        <v>9</v>
      </c>
      <c r="B13" s="2" t="s">
        <v>32</v>
      </c>
      <c r="C13" s="2" t="s">
        <v>11</v>
      </c>
      <c r="D13" s="2" t="s">
        <v>16</v>
      </c>
      <c r="E13" s="2" t="s">
        <v>13</v>
      </c>
      <c r="F13" s="2" t="n">
        <v>1</v>
      </c>
      <c r="G13" s="2" t="n">
        <v>0</v>
      </c>
      <c r="H13" s="2" t="n">
        <v>0</v>
      </c>
      <c r="I13" s="2" t="s">
        <v>17</v>
      </c>
    </row>
    <row r="14" customFormat="false" ht="15" hidden="false" customHeight="false" outlineLevel="0" collapsed="false">
      <c r="A14" s="2" t="s">
        <v>9</v>
      </c>
      <c r="B14" s="2" t="s">
        <v>33</v>
      </c>
      <c r="C14" s="2" t="s">
        <v>11</v>
      </c>
      <c r="D14" s="2" t="s">
        <v>16</v>
      </c>
      <c r="E14" s="2" t="s">
        <v>13</v>
      </c>
      <c r="F14" s="2" t="n">
        <v>1</v>
      </c>
      <c r="G14" s="2" t="n">
        <v>0</v>
      </c>
      <c r="H14" s="2" t="n">
        <v>0</v>
      </c>
      <c r="I14" s="2" t="s">
        <v>17</v>
      </c>
    </row>
    <row r="15" customFormat="false" ht="15" hidden="false" customHeight="false" outlineLevel="0" collapsed="false">
      <c r="A15" s="2" t="s">
        <v>9</v>
      </c>
      <c r="B15" s="2" t="s">
        <v>34</v>
      </c>
      <c r="C15" s="2" t="s">
        <v>11</v>
      </c>
      <c r="D15" s="2" t="s">
        <v>16</v>
      </c>
      <c r="E15" s="2" t="s">
        <v>13</v>
      </c>
      <c r="F15" s="2" t="n">
        <v>1</v>
      </c>
      <c r="G15" s="2" t="n">
        <v>0</v>
      </c>
      <c r="H15" s="2" t="n">
        <v>0</v>
      </c>
      <c r="I15" s="2" t="s">
        <v>17</v>
      </c>
    </row>
    <row r="16" customFormat="false" ht="15" hidden="false" customHeight="false" outlineLevel="0" collapsed="false">
      <c r="A16" s="2" t="s">
        <v>9</v>
      </c>
      <c r="B16" s="2" t="s">
        <v>35</v>
      </c>
      <c r="C16" s="2" t="s">
        <v>11</v>
      </c>
      <c r="D16" s="2" t="s">
        <v>16</v>
      </c>
      <c r="E16" s="2" t="s">
        <v>13</v>
      </c>
      <c r="F16" s="2" t="n">
        <v>1</v>
      </c>
      <c r="G16" s="2" t="n">
        <v>0</v>
      </c>
      <c r="H16" s="2" t="n">
        <v>0</v>
      </c>
      <c r="I16" s="2" t="s">
        <v>17</v>
      </c>
    </row>
    <row r="17" customFormat="false" ht="15" hidden="false" customHeight="false" outlineLevel="0" collapsed="false">
      <c r="A17" s="2" t="s">
        <v>9</v>
      </c>
      <c r="B17" s="2" t="s">
        <v>36</v>
      </c>
      <c r="C17" s="2" t="s">
        <v>11</v>
      </c>
      <c r="D17" s="2" t="s">
        <v>16</v>
      </c>
      <c r="E17" s="2" t="s">
        <v>13</v>
      </c>
      <c r="F17" s="2" t="n">
        <v>1</v>
      </c>
      <c r="G17" s="2" t="n">
        <v>0</v>
      </c>
      <c r="H17" s="2" t="n">
        <v>0</v>
      </c>
      <c r="I17" s="2" t="s">
        <v>17</v>
      </c>
    </row>
    <row r="18" customFormat="false" ht="15" hidden="false" customHeight="false" outlineLevel="0" collapsed="false">
      <c r="A18" s="2" t="s">
        <v>9</v>
      </c>
      <c r="B18" s="2" t="s">
        <v>37</v>
      </c>
      <c r="C18" s="2" t="s">
        <v>11</v>
      </c>
      <c r="D18" s="2" t="s">
        <v>16</v>
      </c>
      <c r="E18" s="2" t="s">
        <v>13</v>
      </c>
      <c r="F18" s="2" t="n">
        <v>1</v>
      </c>
      <c r="G18" s="2" t="n">
        <v>0</v>
      </c>
      <c r="H18" s="2" t="n">
        <v>0</v>
      </c>
      <c r="I18" s="2" t="s">
        <v>17</v>
      </c>
    </row>
    <row r="19" customFormat="false" ht="15" hidden="false" customHeight="false" outlineLevel="0" collapsed="false">
      <c r="A19" s="2" t="s">
        <v>9</v>
      </c>
      <c r="B19" s="2" t="s">
        <v>38</v>
      </c>
      <c r="C19" s="2" t="s">
        <v>11</v>
      </c>
      <c r="D19" s="2" t="s">
        <v>16</v>
      </c>
      <c r="E19" s="2" t="s">
        <v>13</v>
      </c>
      <c r="F19" s="2" t="n">
        <v>1</v>
      </c>
      <c r="G19" s="2" t="n">
        <v>0</v>
      </c>
      <c r="H19" s="2" t="n">
        <v>0</v>
      </c>
      <c r="I19" s="2" t="s">
        <v>17</v>
      </c>
    </row>
    <row r="20" customFormat="false" ht="15" hidden="false" customHeight="false" outlineLevel="0" collapsed="false">
      <c r="A20" s="2" t="s">
        <v>9</v>
      </c>
      <c r="B20" s="2" t="s">
        <v>39</v>
      </c>
      <c r="C20" s="2" t="s">
        <v>11</v>
      </c>
      <c r="D20" s="2" t="s">
        <v>16</v>
      </c>
      <c r="E20" s="2" t="s">
        <v>13</v>
      </c>
      <c r="F20" s="2" t="n">
        <v>1</v>
      </c>
      <c r="G20" s="2" t="n">
        <v>2</v>
      </c>
      <c r="H20" s="2" t="n">
        <v>1</v>
      </c>
      <c r="I20" s="2" t="s">
        <v>40</v>
      </c>
    </row>
    <row r="21" customFormat="false" ht="15" hidden="false" customHeight="false" outlineLevel="0" collapsed="false">
      <c r="A21" s="2" t="s">
        <v>9</v>
      </c>
      <c r="B21" s="2" t="s">
        <v>10</v>
      </c>
      <c r="C21" s="2" t="s">
        <v>41</v>
      </c>
      <c r="D21" s="2" t="s">
        <v>11</v>
      </c>
      <c r="E21" s="2" t="s">
        <v>13</v>
      </c>
      <c r="F21" s="2" t="n">
        <v>50</v>
      </c>
      <c r="G21" s="2" t="n">
        <v>1</v>
      </c>
      <c r="H21" s="2" t="n">
        <v>1</v>
      </c>
      <c r="I21" s="2" t="s">
        <v>42</v>
      </c>
    </row>
    <row r="22" customFormat="false" ht="15" hidden="false" customHeight="false" outlineLevel="0" collapsed="false">
      <c r="A22" s="2" t="s">
        <v>9</v>
      </c>
      <c r="B22" s="2" t="s">
        <v>15</v>
      </c>
      <c r="C22" s="2" t="s">
        <v>11</v>
      </c>
      <c r="D22" s="2" t="s">
        <v>16</v>
      </c>
      <c r="E22" s="2" t="s">
        <v>24</v>
      </c>
      <c r="F22" s="2" t="n">
        <v>5</v>
      </c>
      <c r="G22" s="2" t="n">
        <v>13</v>
      </c>
      <c r="H22" s="2" t="n">
        <v>5</v>
      </c>
      <c r="I22" s="2" t="s">
        <v>43</v>
      </c>
    </row>
    <row r="23" customFormat="false" ht="15" hidden="false" customHeight="false" outlineLevel="0" collapsed="false">
      <c r="A23" s="2" t="s">
        <v>9</v>
      </c>
      <c r="B23" s="2" t="s">
        <v>21</v>
      </c>
      <c r="C23" s="2" t="s">
        <v>11</v>
      </c>
      <c r="D23" s="2" t="s">
        <v>16</v>
      </c>
      <c r="E23" s="2" t="s">
        <v>24</v>
      </c>
      <c r="F23" s="2" t="n">
        <v>5</v>
      </c>
      <c r="G23" s="2" t="n">
        <v>0</v>
      </c>
      <c r="H23" s="2" t="n">
        <v>0</v>
      </c>
      <c r="I23" s="2" t="s">
        <v>44</v>
      </c>
    </row>
    <row r="24" customFormat="false" ht="15" hidden="false" customHeight="false" outlineLevel="0" collapsed="false">
      <c r="A24" s="2" t="s">
        <v>9</v>
      </c>
      <c r="B24" s="2" t="s">
        <v>30</v>
      </c>
      <c r="C24" s="2" t="s">
        <v>11</v>
      </c>
      <c r="D24" s="2" t="s">
        <v>16</v>
      </c>
      <c r="E24" s="2" t="s">
        <v>24</v>
      </c>
      <c r="F24" s="2" t="n">
        <v>5</v>
      </c>
      <c r="G24" s="2" t="n">
        <v>828</v>
      </c>
      <c r="H24" s="2" t="n">
        <v>5</v>
      </c>
      <c r="I24" s="2" t="s">
        <v>45</v>
      </c>
    </row>
    <row r="25" customFormat="false" ht="15" hidden="false" customHeight="false" outlineLevel="0" collapsed="false">
      <c r="A25" s="2" t="s">
        <v>9</v>
      </c>
      <c r="B25" s="2" t="s">
        <v>31</v>
      </c>
      <c r="C25" s="2" t="s">
        <v>11</v>
      </c>
      <c r="D25" s="2" t="s">
        <v>16</v>
      </c>
      <c r="E25" s="2" t="s">
        <v>24</v>
      </c>
      <c r="F25" s="2" t="n">
        <v>3</v>
      </c>
      <c r="G25" s="2" t="n">
        <v>11</v>
      </c>
      <c r="H25" s="2" t="n">
        <v>3</v>
      </c>
      <c r="I25" s="2" t="s">
        <v>46</v>
      </c>
    </row>
    <row r="26" customFormat="false" ht="15" hidden="false" customHeight="false" outlineLevel="0" collapsed="false">
      <c r="A26" s="2" t="s">
        <v>9</v>
      </c>
      <c r="B26" s="2" t="s">
        <v>32</v>
      </c>
      <c r="C26" s="2" t="s">
        <v>11</v>
      </c>
      <c r="D26" s="2" t="s">
        <v>16</v>
      </c>
      <c r="E26" s="2" t="s">
        <v>24</v>
      </c>
      <c r="F26" s="2" t="n">
        <v>3</v>
      </c>
      <c r="G26" s="2" t="n">
        <v>0</v>
      </c>
      <c r="H26" s="2" t="n">
        <v>0</v>
      </c>
      <c r="I26" s="2"/>
    </row>
    <row r="27" customFormat="false" ht="15" hidden="false" customHeight="false" outlineLevel="0" collapsed="false">
      <c r="A27" s="2" t="s">
        <v>9</v>
      </c>
      <c r="B27" s="2" t="s">
        <v>33</v>
      </c>
      <c r="C27" s="2" t="s">
        <v>11</v>
      </c>
      <c r="D27" s="2" t="s">
        <v>16</v>
      </c>
      <c r="E27" s="2" t="s">
        <v>24</v>
      </c>
      <c r="F27" s="2" t="n">
        <v>3</v>
      </c>
      <c r="G27" s="2" t="n">
        <v>0</v>
      </c>
      <c r="H27" s="2" t="n">
        <v>0</v>
      </c>
      <c r="I27" s="2"/>
    </row>
    <row r="28" customFormat="false" ht="15" hidden="false" customHeight="false" outlineLevel="0" collapsed="false">
      <c r="A28" s="2" t="s">
        <v>9</v>
      </c>
      <c r="B28" s="2" t="s">
        <v>34</v>
      </c>
      <c r="C28" s="2" t="s">
        <v>11</v>
      </c>
      <c r="D28" s="2" t="s">
        <v>16</v>
      </c>
      <c r="E28" s="2" t="s">
        <v>24</v>
      </c>
      <c r="F28" s="2" t="n">
        <v>3</v>
      </c>
      <c r="G28" s="2" t="n">
        <v>0</v>
      </c>
      <c r="H28" s="2" t="n">
        <v>0</v>
      </c>
      <c r="I28" s="2"/>
    </row>
    <row r="29" customFormat="false" ht="15" hidden="false" customHeight="false" outlineLevel="0" collapsed="false">
      <c r="A29" s="2" t="s">
        <v>9</v>
      </c>
      <c r="B29" s="2" t="s">
        <v>35</v>
      </c>
      <c r="C29" s="2" t="s">
        <v>11</v>
      </c>
      <c r="D29" s="2" t="s">
        <v>16</v>
      </c>
      <c r="E29" s="2" t="s">
        <v>24</v>
      </c>
      <c r="F29" s="2" t="n">
        <v>3</v>
      </c>
      <c r="G29" s="2" t="n">
        <v>0</v>
      </c>
      <c r="H29" s="2" t="n">
        <v>0</v>
      </c>
      <c r="I29" s="2"/>
    </row>
    <row r="30" customFormat="false" ht="15" hidden="false" customHeight="false" outlineLevel="0" collapsed="false">
      <c r="A30" s="2" t="s">
        <v>9</v>
      </c>
      <c r="B30" s="2" t="s">
        <v>18</v>
      </c>
      <c r="C30" s="2" t="s">
        <v>11</v>
      </c>
      <c r="D30" s="2" t="s">
        <v>16</v>
      </c>
      <c r="E30" s="2" t="s">
        <v>24</v>
      </c>
      <c r="F30" s="2" t="n">
        <v>3</v>
      </c>
      <c r="G30" s="2" t="n">
        <v>39</v>
      </c>
      <c r="H30" s="2" t="n">
        <v>3</v>
      </c>
      <c r="I30" s="2" t="s">
        <v>47</v>
      </c>
    </row>
    <row r="31" customFormat="false" ht="15" hidden="false" customHeight="false" outlineLevel="0" collapsed="false">
      <c r="A31" s="2" t="s">
        <v>9</v>
      </c>
      <c r="B31" s="2" t="s">
        <v>20</v>
      </c>
      <c r="C31" s="2" t="s">
        <v>11</v>
      </c>
      <c r="D31" s="2" t="s">
        <v>16</v>
      </c>
      <c r="E31" s="2" t="s">
        <v>24</v>
      </c>
      <c r="F31" s="2" t="n">
        <v>3</v>
      </c>
      <c r="G31" s="2" t="n">
        <v>463</v>
      </c>
      <c r="H31" s="2" t="n">
        <v>3</v>
      </c>
      <c r="I31" s="2" t="s">
        <v>48</v>
      </c>
    </row>
    <row r="32" customFormat="false" ht="15" hidden="false" customHeight="false" outlineLevel="0" collapsed="false">
      <c r="A32" s="2" t="s">
        <v>9</v>
      </c>
      <c r="B32" s="2" t="s">
        <v>23</v>
      </c>
      <c r="C32" s="2" t="s">
        <v>11</v>
      </c>
      <c r="D32" s="2" t="s">
        <v>16</v>
      </c>
      <c r="E32" s="2" t="s">
        <v>24</v>
      </c>
      <c r="F32" s="2" t="n">
        <v>3</v>
      </c>
      <c r="G32" s="2" t="n">
        <v>316</v>
      </c>
      <c r="H32" s="2" t="n">
        <v>3</v>
      </c>
      <c r="I32" s="2" t="s">
        <v>49</v>
      </c>
    </row>
    <row r="33" customFormat="false" ht="15" hidden="false" customHeight="false" outlineLevel="0" collapsed="false">
      <c r="A33" s="2" t="s">
        <v>9</v>
      </c>
      <c r="B33" s="2" t="s">
        <v>50</v>
      </c>
      <c r="C33" s="2" t="s">
        <v>11</v>
      </c>
      <c r="D33" s="2" t="s">
        <v>16</v>
      </c>
      <c r="E33" s="2" t="s">
        <v>13</v>
      </c>
      <c r="F33" s="2" t="n">
        <v>1</v>
      </c>
      <c r="G33" s="2" t="n">
        <v>0</v>
      </c>
      <c r="H33" s="2" t="n">
        <v>0</v>
      </c>
      <c r="I33" s="2"/>
    </row>
    <row r="34" customFormat="false" ht="15" hidden="false" customHeight="false" outlineLevel="0" collapsed="false">
      <c r="A34" s="2" t="s">
        <v>9</v>
      </c>
      <c r="B34" s="2" t="s">
        <v>51</v>
      </c>
      <c r="C34" s="2" t="s">
        <v>11</v>
      </c>
      <c r="D34" s="2" t="s">
        <v>16</v>
      </c>
      <c r="E34" s="2" t="s">
        <v>13</v>
      </c>
      <c r="F34" s="2" t="n">
        <v>1</v>
      </c>
      <c r="G34" s="2" t="n">
        <v>0</v>
      </c>
      <c r="H34" s="2" t="n">
        <v>0</v>
      </c>
      <c r="I34" s="2"/>
    </row>
    <row r="35" customFormat="false" ht="15" hidden="false" customHeight="false" outlineLevel="0" collapsed="false">
      <c r="A35" s="2" t="s">
        <v>9</v>
      </c>
      <c r="B35" s="2" t="s">
        <v>52</v>
      </c>
      <c r="C35" s="2" t="s">
        <v>11</v>
      </c>
      <c r="D35" s="2" t="s">
        <v>16</v>
      </c>
      <c r="E35" s="2" t="s">
        <v>13</v>
      </c>
      <c r="F35" s="2" t="n">
        <v>1</v>
      </c>
      <c r="G35" s="2" t="n">
        <v>0</v>
      </c>
      <c r="H35" s="2" t="n">
        <v>0</v>
      </c>
      <c r="I35" s="2"/>
    </row>
    <row r="36" customFormat="false" ht="15" hidden="false" customHeight="false" outlineLevel="0" collapsed="false">
      <c r="A36" s="2" t="s">
        <v>9</v>
      </c>
      <c r="B36" s="2" t="s">
        <v>53</v>
      </c>
      <c r="C36" s="2" t="s">
        <v>11</v>
      </c>
      <c r="D36" s="2" t="s">
        <v>16</v>
      </c>
      <c r="E36" s="2" t="s">
        <v>13</v>
      </c>
      <c r="F36" s="2" t="n">
        <v>1</v>
      </c>
      <c r="G36" s="2" t="n">
        <v>0</v>
      </c>
      <c r="H36" s="2" t="n">
        <v>0</v>
      </c>
      <c r="I36" s="2"/>
    </row>
    <row r="37" customFormat="false" ht="15" hidden="false" customHeight="false" outlineLevel="0" collapsed="false">
      <c r="A37" s="2" t="s">
        <v>9</v>
      </c>
      <c r="B37" s="2" t="s">
        <v>54</v>
      </c>
      <c r="C37" s="2" t="s">
        <v>11</v>
      </c>
      <c r="D37" s="2" t="s">
        <v>16</v>
      </c>
      <c r="E37" s="2" t="s">
        <v>13</v>
      </c>
      <c r="F37" s="2" t="n">
        <v>1</v>
      </c>
      <c r="G37" s="2" t="n">
        <v>0</v>
      </c>
      <c r="H37" s="2" t="n">
        <v>0</v>
      </c>
      <c r="I37" s="2"/>
    </row>
    <row r="38" customFormat="false" ht="15" hidden="false" customHeight="false" outlineLevel="0" collapsed="false">
      <c r="A38" s="2" t="s">
        <v>9</v>
      </c>
      <c r="B38" s="2" t="s">
        <v>55</v>
      </c>
      <c r="C38" s="2" t="s">
        <v>11</v>
      </c>
      <c r="D38" s="2" t="s">
        <v>16</v>
      </c>
      <c r="E38" s="2" t="s">
        <v>13</v>
      </c>
      <c r="F38" s="2" t="n">
        <v>1</v>
      </c>
      <c r="G38" s="2" t="n">
        <v>0</v>
      </c>
      <c r="H38" s="2" t="n">
        <v>0</v>
      </c>
      <c r="I38" s="2"/>
    </row>
    <row r="39" customFormat="false" ht="15" hidden="false" customHeight="false" outlineLevel="0" collapsed="false">
      <c r="A39" s="2" t="s">
        <v>9</v>
      </c>
      <c r="B39" s="2" t="s">
        <v>56</v>
      </c>
      <c r="C39" s="2" t="s">
        <v>11</v>
      </c>
      <c r="D39" s="2" t="s">
        <v>16</v>
      </c>
      <c r="E39" s="2" t="s">
        <v>13</v>
      </c>
      <c r="F39" s="2" t="n">
        <v>1</v>
      </c>
      <c r="G39" s="2" t="n">
        <v>0</v>
      </c>
      <c r="H39" s="2" t="n">
        <v>0</v>
      </c>
      <c r="I39" s="2"/>
    </row>
    <row r="40" customFormat="false" ht="15" hidden="false" customHeight="false" outlineLevel="0" collapsed="false">
      <c r="A40" s="2" t="s">
        <v>9</v>
      </c>
      <c r="B40" s="2" t="s">
        <v>57</v>
      </c>
      <c r="C40" s="2" t="s">
        <v>11</v>
      </c>
      <c r="D40" s="2" t="s">
        <v>16</v>
      </c>
      <c r="E40" s="2" t="s">
        <v>13</v>
      </c>
      <c r="F40" s="2" t="n">
        <v>1</v>
      </c>
      <c r="G40" s="2" t="n">
        <v>0</v>
      </c>
      <c r="H40" s="2" t="n">
        <v>0</v>
      </c>
      <c r="I40" s="2"/>
    </row>
    <row r="41" customFormat="false" ht="15" hidden="false" customHeight="false" outlineLevel="0" collapsed="false">
      <c r="A41" s="2" t="s">
        <v>9</v>
      </c>
      <c r="B41" s="2" t="s">
        <v>50</v>
      </c>
      <c r="C41" s="2" t="s">
        <v>11</v>
      </c>
      <c r="D41" s="2" t="s">
        <v>16</v>
      </c>
      <c r="E41" s="2" t="s">
        <v>24</v>
      </c>
      <c r="F41" s="2" t="n">
        <v>1</v>
      </c>
      <c r="G41" s="2" t="n">
        <v>479</v>
      </c>
      <c r="H41" s="2" t="n">
        <v>1</v>
      </c>
      <c r="I41" s="2" t="s">
        <v>58</v>
      </c>
    </row>
    <row r="42" customFormat="false" ht="15" hidden="false" customHeight="false" outlineLevel="0" collapsed="false">
      <c r="A42" s="2" t="s">
        <v>9</v>
      </c>
      <c r="B42" s="2" t="s">
        <v>51</v>
      </c>
      <c r="C42" s="2" t="s">
        <v>11</v>
      </c>
      <c r="D42" s="2" t="s">
        <v>16</v>
      </c>
      <c r="E42" s="2" t="s">
        <v>24</v>
      </c>
      <c r="F42" s="2" t="n">
        <v>1</v>
      </c>
      <c r="G42" s="2" t="n">
        <v>140</v>
      </c>
      <c r="H42" s="2" t="n">
        <v>1</v>
      </c>
      <c r="I42" s="2" t="s">
        <v>59</v>
      </c>
    </row>
    <row r="43" customFormat="false" ht="15" hidden="false" customHeight="false" outlineLevel="0" collapsed="false">
      <c r="A43" s="2" t="s">
        <v>9</v>
      </c>
      <c r="B43" s="2" t="s">
        <v>52</v>
      </c>
      <c r="C43" s="2" t="s">
        <v>11</v>
      </c>
      <c r="D43" s="2" t="s">
        <v>16</v>
      </c>
      <c r="E43" s="2" t="s">
        <v>24</v>
      </c>
      <c r="F43" s="2" t="n">
        <v>1</v>
      </c>
      <c r="G43" s="2" t="n">
        <v>147</v>
      </c>
      <c r="H43" s="2" t="n">
        <v>1</v>
      </c>
      <c r="I43" s="2" t="s">
        <v>60</v>
      </c>
    </row>
    <row r="44" customFormat="false" ht="15" hidden="false" customHeight="false" outlineLevel="0" collapsed="false">
      <c r="A44" s="2" t="s">
        <v>9</v>
      </c>
      <c r="B44" s="2" t="s">
        <v>53</v>
      </c>
      <c r="C44" s="2" t="s">
        <v>11</v>
      </c>
      <c r="D44" s="2" t="s">
        <v>16</v>
      </c>
      <c r="E44" s="2" t="s">
        <v>24</v>
      </c>
      <c r="F44" s="2" t="n">
        <v>1</v>
      </c>
      <c r="G44" s="2" t="n">
        <v>137</v>
      </c>
      <c r="H44" s="2" t="n">
        <v>1</v>
      </c>
      <c r="I44" s="2" t="s">
        <v>61</v>
      </c>
    </row>
    <row r="45" customFormat="false" ht="15" hidden="false" customHeight="false" outlineLevel="0" collapsed="false">
      <c r="A45" s="2" t="s">
        <v>9</v>
      </c>
      <c r="B45" s="2" t="s">
        <v>54</v>
      </c>
      <c r="C45" s="2" t="s">
        <v>11</v>
      </c>
      <c r="D45" s="2" t="s">
        <v>16</v>
      </c>
      <c r="E45" s="2" t="s">
        <v>24</v>
      </c>
      <c r="F45" s="2" t="n">
        <v>1</v>
      </c>
      <c r="G45" s="2" t="n">
        <v>154</v>
      </c>
      <c r="H45" s="2" t="n">
        <v>1</v>
      </c>
      <c r="I45" s="2" t="s">
        <v>62</v>
      </c>
    </row>
    <row r="46" customFormat="false" ht="15" hidden="false" customHeight="false" outlineLevel="0" collapsed="false">
      <c r="A46" s="2" t="s">
        <v>9</v>
      </c>
      <c r="B46" s="2" t="s">
        <v>28</v>
      </c>
      <c r="C46" s="2" t="s">
        <v>11</v>
      </c>
      <c r="D46" s="2" t="s">
        <v>16</v>
      </c>
      <c r="E46" s="2" t="s">
        <v>24</v>
      </c>
      <c r="F46" s="2" t="n">
        <v>1</v>
      </c>
      <c r="G46" s="2" t="n">
        <v>738</v>
      </c>
      <c r="H46" s="2" t="n">
        <v>1</v>
      </c>
      <c r="I46" s="2" t="s">
        <v>63</v>
      </c>
    </row>
    <row r="47" customFormat="false" ht="15" hidden="false" customHeight="false" outlineLevel="0" collapsed="false">
      <c r="A47" s="2" t="s">
        <v>9</v>
      </c>
      <c r="B47" s="2" t="s">
        <v>64</v>
      </c>
      <c r="C47" s="2" t="s">
        <v>11</v>
      </c>
      <c r="D47" s="2" t="s">
        <v>16</v>
      </c>
      <c r="E47" s="2" t="s">
        <v>24</v>
      </c>
      <c r="F47" s="2" t="n">
        <v>1</v>
      </c>
      <c r="G47" s="2" t="n">
        <v>747</v>
      </c>
      <c r="H47" s="2" t="n">
        <v>1</v>
      </c>
      <c r="I47" s="2" t="s">
        <v>65</v>
      </c>
    </row>
    <row r="48" customFormat="false" ht="15" hidden="false" customHeight="false" outlineLevel="0" collapsed="false">
      <c r="A48" s="2" t="s">
        <v>9</v>
      </c>
      <c r="B48" s="2" t="s">
        <v>39</v>
      </c>
      <c r="C48" s="2" t="s">
        <v>11</v>
      </c>
      <c r="D48" s="2" t="s">
        <v>16</v>
      </c>
      <c r="E48" s="2" t="s">
        <v>24</v>
      </c>
      <c r="F48" s="2" t="n">
        <v>1</v>
      </c>
      <c r="G48" s="2" t="n">
        <v>15</v>
      </c>
      <c r="H48" s="2" t="n">
        <v>1</v>
      </c>
      <c r="I48" s="2" t="s">
        <v>66</v>
      </c>
    </row>
    <row r="49" customFormat="false" ht="15" hidden="false" customHeight="false" outlineLevel="0" collapsed="false">
      <c r="A49" s="2" t="s">
        <v>9</v>
      </c>
      <c r="B49" s="2" t="s">
        <v>64</v>
      </c>
      <c r="C49" s="2" t="s">
        <v>11</v>
      </c>
      <c r="D49" s="2" t="s">
        <v>16</v>
      </c>
      <c r="E49" s="2" t="s">
        <v>13</v>
      </c>
      <c r="F49" s="2" t="n">
        <v>1</v>
      </c>
      <c r="G49" s="2" t="n">
        <v>0</v>
      </c>
      <c r="H49" s="2" t="n">
        <v>0</v>
      </c>
      <c r="I49" s="2" t="s">
        <v>67</v>
      </c>
    </row>
    <row r="50" customFormat="false" ht="15" hidden="false" customHeight="false" outlineLevel="0" collapsed="false">
      <c r="A50" s="2" t="s">
        <v>9</v>
      </c>
      <c r="B50" s="2" t="s">
        <v>68</v>
      </c>
      <c r="C50" s="2" t="s">
        <v>11</v>
      </c>
      <c r="D50" s="2" t="s">
        <v>16</v>
      </c>
      <c r="E50" s="2" t="s">
        <v>13</v>
      </c>
      <c r="F50" s="2" t="n">
        <v>1</v>
      </c>
      <c r="G50" s="2" t="n">
        <v>0</v>
      </c>
      <c r="H50" s="2" t="n">
        <v>0</v>
      </c>
      <c r="I50" s="2"/>
    </row>
    <row r="51" customFormat="false" ht="15" hidden="false" customHeight="false" outlineLevel="0" collapsed="false">
      <c r="A51" s="2" t="s">
        <v>9</v>
      </c>
      <c r="B51" s="2" t="s">
        <v>69</v>
      </c>
      <c r="C51" s="2" t="s">
        <v>11</v>
      </c>
      <c r="D51" s="2" t="s">
        <v>16</v>
      </c>
      <c r="E51" s="2" t="s">
        <v>13</v>
      </c>
      <c r="F51" s="2" t="n">
        <v>1</v>
      </c>
      <c r="G51" s="2" t="n">
        <v>0</v>
      </c>
      <c r="H51" s="2" t="n">
        <v>0</v>
      </c>
      <c r="I51" s="2"/>
    </row>
    <row r="52" customFormat="false" ht="15" hidden="false" customHeight="false" outlineLevel="0" collapsed="false">
      <c r="A52" s="2" t="s">
        <v>9</v>
      </c>
      <c r="B52" s="2" t="s">
        <v>70</v>
      </c>
      <c r="C52" s="2" t="s">
        <v>11</v>
      </c>
      <c r="D52" s="2" t="s">
        <v>16</v>
      </c>
      <c r="E52" s="2" t="s">
        <v>13</v>
      </c>
      <c r="F52" s="2" t="n">
        <v>1</v>
      </c>
      <c r="G52" s="2" t="n">
        <v>0</v>
      </c>
      <c r="H52" s="2" t="n">
        <v>0</v>
      </c>
      <c r="I52" s="2"/>
    </row>
    <row r="53" customFormat="false" ht="15" hidden="false" customHeight="false" outlineLevel="0" collapsed="false">
      <c r="A53" s="2" t="s">
        <v>9</v>
      </c>
      <c r="B53" s="2" t="s">
        <v>69</v>
      </c>
      <c r="C53" s="2" t="s">
        <v>11</v>
      </c>
      <c r="D53" s="2" t="s">
        <v>16</v>
      </c>
      <c r="E53" s="2" t="s">
        <v>24</v>
      </c>
      <c r="F53" s="2" t="n">
        <v>1</v>
      </c>
      <c r="G53" s="2" t="n">
        <v>0</v>
      </c>
      <c r="H53" s="2" t="n">
        <v>0</v>
      </c>
      <c r="I53" s="2"/>
    </row>
    <row r="54" customFormat="false" ht="15" hidden="false" customHeight="false" outlineLevel="0" collapsed="false">
      <c r="A54" s="2" t="s">
        <v>9</v>
      </c>
      <c r="B54" s="2" t="s">
        <v>36</v>
      </c>
      <c r="C54" s="2" t="s">
        <v>11</v>
      </c>
      <c r="D54" s="2" t="s">
        <v>16</v>
      </c>
      <c r="E54" s="2" t="s">
        <v>24</v>
      </c>
      <c r="F54" s="2" t="n">
        <v>1</v>
      </c>
      <c r="G54" s="2" t="n">
        <v>0</v>
      </c>
      <c r="H54" s="2" t="n">
        <v>0</v>
      </c>
      <c r="I54" s="2"/>
    </row>
    <row r="55" customFormat="false" ht="15" hidden="false" customHeight="false" outlineLevel="0" collapsed="false">
      <c r="A55" s="2" t="s">
        <v>9</v>
      </c>
      <c r="B55" s="2" t="s">
        <v>37</v>
      </c>
      <c r="C55" s="2" t="s">
        <v>11</v>
      </c>
      <c r="D55" s="2" t="s">
        <v>16</v>
      </c>
      <c r="E55" s="2" t="s">
        <v>24</v>
      </c>
      <c r="F55" s="2" t="n">
        <v>1</v>
      </c>
      <c r="G55" s="2" t="n">
        <v>0</v>
      </c>
      <c r="H55" s="2" t="n">
        <v>0</v>
      </c>
      <c r="I55" s="2"/>
    </row>
    <row r="56" customFormat="false" ht="15" hidden="false" customHeight="false" outlineLevel="0" collapsed="false">
      <c r="A56" s="2" t="s">
        <v>9</v>
      </c>
      <c r="B56" s="2" t="s">
        <v>38</v>
      </c>
      <c r="C56" s="2" t="s">
        <v>11</v>
      </c>
      <c r="D56" s="2" t="s">
        <v>16</v>
      </c>
      <c r="E56" s="2" t="s">
        <v>24</v>
      </c>
      <c r="F56" s="2" t="n">
        <v>1</v>
      </c>
      <c r="G56" s="2" t="n">
        <v>0</v>
      </c>
      <c r="H56" s="2" t="n">
        <v>0</v>
      </c>
      <c r="I56" s="2"/>
    </row>
    <row r="57" customFormat="false" ht="15" hidden="false" customHeight="false" outlineLevel="0" collapsed="false">
      <c r="A57" s="2" t="s">
        <v>9</v>
      </c>
      <c r="B57" s="2" t="s">
        <v>15</v>
      </c>
      <c r="C57" s="2" t="s">
        <v>71</v>
      </c>
      <c r="D57" s="2" t="s">
        <v>11</v>
      </c>
      <c r="E57" s="2" t="s">
        <v>13</v>
      </c>
      <c r="F57" s="2" t="n">
        <v>15</v>
      </c>
      <c r="G57" s="2" t="n">
        <v>8</v>
      </c>
      <c r="H57" s="2" t="n">
        <v>8</v>
      </c>
      <c r="I57" s="2" t="s">
        <v>72</v>
      </c>
    </row>
    <row r="58" customFormat="false" ht="15" hidden="false" customHeight="false" outlineLevel="0" collapsed="false">
      <c r="A58" s="2" t="s">
        <v>9</v>
      </c>
      <c r="B58" s="2" t="s">
        <v>31</v>
      </c>
      <c r="C58" s="2" t="s">
        <v>71</v>
      </c>
      <c r="D58" s="2" t="s">
        <v>11</v>
      </c>
      <c r="E58" s="2" t="s">
        <v>13</v>
      </c>
      <c r="F58" s="2" t="n">
        <v>15</v>
      </c>
      <c r="G58" s="2" t="n">
        <v>13</v>
      </c>
      <c r="H58" s="2" t="n">
        <v>13</v>
      </c>
      <c r="I58" s="2" t="s">
        <v>73</v>
      </c>
    </row>
    <row r="59" customFormat="false" ht="15" hidden="false" customHeight="false" outlineLevel="0" collapsed="false">
      <c r="A59" s="2" t="s">
        <v>9</v>
      </c>
      <c r="B59" s="2" t="s">
        <v>32</v>
      </c>
      <c r="C59" s="2" t="s">
        <v>71</v>
      </c>
      <c r="D59" s="2" t="s">
        <v>11</v>
      </c>
      <c r="E59" s="2" t="s">
        <v>13</v>
      </c>
      <c r="F59" s="2" t="n">
        <v>15</v>
      </c>
      <c r="G59" s="2" t="n">
        <v>8</v>
      </c>
      <c r="H59" s="2" t="n">
        <v>8</v>
      </c>
      <c r="I59" s="2" t="s">
        <v>74</v>
      </c>
    </row>
    <row r="60" customFormat="false" ht="15" hidden="false" customHeight="false" outlineLevel="0" collapsed="false">
      <c r="A60" s="2" t="s">
        <v>9</v>
      </c>
      <c r="B60" s="2" t="s">
        <v>33</v>
      </c>
      <c r="C60" s="2" t="s">
        <v>71</v>
      </c>
      <c r="D60" s="2" t="s">
        <v>11</v>
      </c>
      <c r="E60" s="2" t="s">
        <v>13</v>
      </c>
      <c r="F60" s="2" t="n">
        <v>15</v>
      </c>
      <c r="G60" s="2" t="n">
        <v>6</v>
      </c>
      <c r="H60" s="2" t="n">
        <v>6</v>
      </c>
      <c r="I60" s="2" t="s">
        <v>75</v>
      </c>
    </row>
    <row r="61" customFormat="false" ht="15" hidden="false" customHeight="false" outlineLevel="0" collapsed="false">
      <c r="A61" s="2" t="s">
        <v>9</v>
      </c>
      <c r="B61" s="2" t="s">
        <v>34</v>
      </c>
      <c r="C61" s="2" t="s">
        <v>71</v>
      </c>
      <c r="D61" s="2" t="s">
        <v>11</v>
      </c>
      <c r="E61" s="2" t="s">
        <v>13</v>
      </c>
      <c r="F61" s="2" t="n">
        <v>15</v>
      </c>
      <c r="G61" s="2" t="n">
        <v>7</v>
      </c>
      <c r="H61" s="2" t="n">
        <v>7</v>
      </c>
      <c r="I61" s="2" t="s">
        <v>75</v>
      </c>
    </row>
    <row r="62" customFormat="false" ht="15" hidden="false" customHeight="false" outlineLevel="0" collapsed="false">
      <c r="A62" s="2" t="s">
        <v>9</v>
      </c>
      <c r="B62" s="2" t="s">
        <v>35</v>
      </c>
      <c r="C62" s="2" t="s">
        <v>71</v>
      </c>
      <c r="D62" s="2" t="s">
        <v>11</v>
      </c>
      <c r="E62" s="2" t="s">
        <v>13</v>
      </c>
      <c r="F62" s="2" t="n">
        <v>15</v>
      </c>
      <c r="G62" s="2" t="n">
        <v>6</v>
      </c>
      <c r="H62" s="2" t="n">
        <v>6</v>
      </c>
      <c r="I62" s="2" t="s">
        <v>75</v>
      </c>
    </row>
    <row r="63" customFormat="false" ht="15" hidden="false" customHeight="false" outlineLevel="0" collapsed="false">
      <c r="A63" s="2" t="s">
        <v>9</v>
      </c>
      <c r="B63" s="2" t="s">
        <v>37</v>
      </c>
      <c r="C63" s="2" t="s">
        <v>71</v>
      </c>
      <c r="D63" s="2" t="s">
        <v>11</v>
      </c>
      <c r="E63" s="2" t="s">
        <v>13</v>
      </c>
      <c r="F63" s="2" t="n">
        <v>15</v>
      </c>
      <c r="G63" s="2" t="n">
        <v>6</v>
      </c>
      <c r="H63" s="2" t="n">
        <v>6</v>
      </c>
      <c r="I63" s="2" t="s">
        <v>75</v>
      </c>
    </row>
    <row r="64" customFormat="false" ht="15" hidden="false" customHeight="false" outlineLevel="0" collapsed="false">
      <c r="A64" s="2" t="s">
        <v>9</v>
      </c>
      <c r="B64" s="2" t="s">
        <v>36</v>
      </c>
      <c r="C64" s="2" t="s">
        <v>71</v>
      </c>
      <c r="D64" s="2" t="s">
        <v>11</v>
      </c>
      <c r="E64" s="2" t="s">
        <v>13</v>
      </c>
      <c r="F64" s="2" t="n">
        <v>15</v>
      </c>
      <c r="G64" s="2" t="n">
        <v>6</v>
      </c>
      <c r="H64" s="2" t="n">
        <v>6</v>
      </c>
      <c r="I64" s="2" t="s">
        <v>75</v>
      </c>
    </row>
    <row r="65" customFormat="false" ht="15" hidden="false" customHeight="false" outlineLevel="0" collapsed="false">
      <c r="A65" s="2" t="s">
        <v>9</v>
      </c>
      <c r="B65" s="2" t="s">
        <v>38</v>
      </c>
      <c r="C65" s="2" t="s">
        <v>71</v>
      </c>
      <c r="D65" s="2" t="s">
        <v>11</v>
      </c>
      <c r="E65" s="2" t="s">
        <v>13</v>
      </c>
      <c r="F65" s="2" t="n">
        <v>15</v>
      </c>
      <c r="G65" s="2" t="n">
        <v>4</v>
      </c>
      <c r="H65" s="2" t="n">
        <v>4</v>
      </c>
      <c r="I65" s="2" t="s">
        <v>75</v>
      </c>
    </row>
    <row r="66" customFormat="false" ht="15" hidden="false" customHeight="false" outlineLevel="0" collapsed="false">
      <c r="A66" s="2" t="s">
        <v>9</v>
      </c>
      <c r="B66" s="2" t="s">
        <v>69</v>
      </c>
      <c r="C66" s="2" t="s">
        <v>71</v>
      </c>
      <c r="D66" s="2" t="s">
        <v>11</v>
      </c>
      <c r="E66" s="2" t="s">
        <v>13</v>
      </c>
      <c r="F66" s="2" t="n">
        <v>15</v>
      </c>
      <c r="G66" s="2" t="n">
        <v>6</v>
      </c>
      <c r="H66" s="2" t="n">
        <v>6</v>
      </c>
      <c r="I66" s="2" t="s">
        <v>75</v>
      </c>
    </row>
    <row r="67" customFormat="false" ht="15" hidden="false" customHeight="false" outlineLevel="0" collapsed="false">
      <c r="A67" s="2" t="s">
        <v>9</v>
      </c>
      <c r="B67" s="2" t="s">
        <v>70</v>
      </c>
      <c r="C67" s="2" t="s">
        <v>71</v>
      </c>
      <c r="D67" s="2" t="s">
        <v>11</v>
      </c>
      <c r="E67" s="2" t="s">
        <v>13</v>
      </c>
      <c r="F67" s="2" t="n">
        <v>15</v>
      </c>
      <c r="G67" s="2" t="n">
        <v>6</v>
      </c>
      <c r="H67" s="2" t="n">
        <v>6</v>
      </c>
      <c r="I67" s="2" t="s">
        <v>75</v>
      </c>
    </row>
    <row r="68" customFormat="false" ht="15" hidden="false" customHeight="false" outlineLevel="0" collapsed="false">
      <c r="A68" s="2" t="s">
        <v>9</v>
      </c>
      <c r="B68" s="2" t="s">
        <v>15</v>
      </c>
      <c r="C68" s="2" t="s">
        <v>76</v>
      </c>
      <c r="D68" s="2" t="s">
        <v>11</v>
      </c>
      <c r="E68" s="2" t="s">
        <v>13</v>
      </c>
      <c r="F68" s="2" t="n">
        <v>15</v>
      </c>
      <c r="G68" s="2" t="n">
        <v>12</v>
      </c>
      <c r="H68" s="2" t="n">
        <v>12</v>
      </c>
      <c r="I68" s="2" t="s">
        <v>77</v>
      </c>
    </row>
    <row r="69" customFormat="false" ht="15" hidden="false" customHeight="false" outlineLevel="0" collapsed="false">
      <c r="A69" s="2" t="s">
        <v>9</v>
      </c>
      <c r="B69" s="2" t="s">
        <v>10</v>
      </c>
      <c r="C69" s="2" t="s">
        <v>78</v>
      </c>
      <c r="D69" s="2" t="s">
        <v>11</v>
      </c>
      <c r="E69" s="2" t="s">
        <v>24</v>
      </c>
      <c r="F69" s="2" t="n">
        <v>10</v>
      </c>
      <c r="G69" s="2" t="n">
        <v>103085</v>
      </c>
      <c r="H69" s="2" t="n">
        <v>10</v>
      </c>
      <c r="I69" s="2" t="s">
        <v>79</v>
      </c>
    </row>
    <row r="70" customFormat="false" ht="15" hidden="false" customHeight="false" outlineLevel="0" collapsed="false">
      <c r="A70" s="2" t="s">
        <v>9</v>
      </c>
      <c r="B70" s="2" t="s">
        <v>10</v>
      </c>
      <c r="C70" s="2" t="s">
        <v>80</v>
      </c>
      <c r="D70" s="2" t="s">
        <v>11</v>
      </c>
      <c r="E70" s="2" t="s">
        <v>24</v>
      </c>
      <c r="F70" s="2" t="n">
        <v>10</v>
      </c>
      <c r="G70" s="2" t="n">
        <v>595</v>
      </c>
      <c r="H70" s="2" t="n">
        <v>10</v>
      </c>
      <c r="I70" s="2" t="s">
        <v>79</v>
      </c>
    </row>
    <row r="71" customFormat="false" ht="15" hidden="false" customHeight="false" outlineLevel="0" collapsed="false">
      <c r="A71" s="2" t="s">
        <v>9</v>
      </c>
      <c r="B71" s="2" t="s">
        <v>10</v>
      </c>
      <c r="C71" s="2" t="s">
        <v>81</v>
      </c>
      <c r="D71" s="2" t="s">
        <v>11</v>
      </c>
      <c r="E71" s="2" t="s">
        <v>24</v>
      </c>
      <c r="F71" s="2" t="n">
        <v>10</v>
      </c>
      <c r="G71" s="2" t="n">
        <v>631</v>
      </c>
      <c r="H71" s="2" t="n">
        <v>10</v>
      </c>
      <c r="I71" s="2" t="s">
        <v>79</v>
      </c>
    </row>
    <row r="72" customFormat="false" ht="15" hidden="false" customHeight="false" outlineLevel="0" collapsed="false">
      <c r="A72" s="2" t="s">
        <v>9</v>
      </c>
      <c r="B72" s="2" t="s">
        <v>10</v>
      </c>
      <c r="C72" s="2" t="s">
        <v>82</v>
      </c>
      <c r="D72" s="2" t="s">
        <v>11</v>
      </c>
      <c r="E72" s="2" t="s">
        <v>24</v>
      </c>
      <c r="F72" s="2" t="n">
        <v>10</v>
      </c>
      <c r="G72" s="2" t="n">
        <v>374</v>
      </c>
      <c r="H72" s="2" t="n">
        <v>10</v>
      </c>
      <c r="I72" s="2" t="s">
        <v>83</v>
      </c>
    </row>
    <row r="73" customFormat="false" ht="15" hidden="false" customHeight="false" outlineLevel="0" collapsed="false">
      <c r="A73" s="2" t="s">
        <v>9</v>
      </c>
      <c r="B73" s="2" t="s">
        <v>10</v>
      </c>
      <c r="C73" s="2" t="s">
        <v>11</v>
      </c>
      <c r="D73" s="2" t="s">
        <v>84</v>
      </c>
      <c r="E73" s="2" t="s">
        <v>24</v>
      </c>
      <c r="F73" s="2" t="n">
        <v>30</v>
      </c>
      <c r="G73" s="2" t="n">
        <v>19</v>
      </c>
      <c r="H73" s="2" t="n">
        <v>19</v>
      </c>
      <c r="I73" s="2" t="s">
        <v>85</v>
      </c>
    </row>
    <row r="74" customFormat="false" ht="15" hidden="false" customHeight="false" outlineLevel="0" collapsed="false">
      <c r="A74" s="2" t="s">
        <v>9</v>
      </c>
      <c r="B74" s="2" t="s">
        <v>15</v>
      </c>
      <c r="C74" s="2" t="s">
        <v>11</v>
      </c>
      <c r="D74" s="2" t="s">
        <v>82</v>
      </c>
      <c r="E74" s="2" t="s">
        <v>13</v>
      </c>
      <c r="F74" s="2" t="n">
        <v>1</v>
      </c>
      <c r="G74" s="2" t="n">
        <v>1</v>
      </c>
      <c r="H74" s="2" t="n">
        <v>1</v>
      </c>
      <c r="I74" s="2" t="s">
        <v>86</v>
      </c>
    </row>
    <row r="75" customFormat="false" ht="15" hidden="false" customHeight="false" outlineLevel="0" collapsed="false">
      <c r="A75" s="2" t="s">
        <v>9</v>
      </c>
      <c r="B75" s="2" t="s">
        <v>15</v>
      </c>
      <c r="C75" s="2" t="s">
        <v>11</v>
      </c>
      <c r="D75" s="2" t="s">
        <v>87</v>
      </c>
      <c r="E75" s="2" t="s">
        <v>13</v>
      </c>
      <c r="F75" s="2" t="n">
        <v>1</v>
      </c>
      <c r="G75" s="2" t="n">
        <v>4</v>
      </c>
      <c r="H75" s="2" t="n">
        <v>1</v>
      </c>
      <c r="I75" s="2" t="s">
        <v>88</v>
      </c>
    </row>
    <row r="76" customFormat="false" ht="15" hidden="false" customHeight="false" outlineLevel="0" collapsed="false">
      <c r="A76" s="2" t="s">
        <v>9</v>
      </c>
      <c r="B76" s="2" t="s">
        <v>10</v>
      </c>
      <c r="C76" s="2" t="s">
        <v>89</v>
      </c>
      <c r="D76" s="2" t="s">
        <v>90</v>
      </c>
      <c r="E76" s="2" t="s">
        <v>13</v>
      </c>
      <c r="F76" s="2" t="n">
        <v>5</v>
      </c>
      <c r="G76" s="2" t="n">
        <v>9</v>
      </c>
      <c r="H76" s="2" t="n">
        <v>5</v>
      </c>
      <c r="I76" s="2" t="s">
        <v>91</v>
      </c>
    </row>
    <row r="77" customFormat="false" ht="15" hidden="false" customHeight="false" outlineLevel="0" collapsed="false">
      <c r="A77" s="2" t="s">
        <v>9</v>
      </c>
      <c r="B77" s="2" t="s">
        <v>31</v>
      </c>
      <c r="C77" s="2" t="s">
        <v>11</v>
      </c>
      <c r="D77" s="2" t="s">
        <v>92</v>
      </c>
      <c r="E77" s="2" t="s">
        <v>13</v>
      </c>
      <c r="F77" s="2" t="n">
        <v>1</v>
      </c>
      <c r="G77" s="2" t="n">
        <v>6</v>
      </c>
      <c r="H77" s="2" t="n">
        <v>1</v>
      </c>
      <c r="I77" s="2" t="s">
        <v>93</v>
      </c>
    </row>
    <row r="78" customFormat="false" ht="15" hidden="false" customHeight="false" outlineLevel="0" collapsed="false">
      <c r="A78" s="2" t="s">
        <v>9</v>
      </c>
      <c r="B78" s="2" t="s">
        <v>15</v>
      </c>
      <c r="C78" s="2" t="s">
        <v>11</v>
      </c>
      <c r="D78" s="2" t="s">
        <v>92</v>
      </c>
      <c r="E78" s="2" t="s">
        <v>13</v>
      </c>
      <c r="F78" s="2" t="n">
        <v>1</v>
      </c>
      <c r="G78" s="2" t="n">
        <v>0</v>
      </c>
      <c r="H78" s="2" t="n">
        <v>0</v>
      </c>
      <c r="I78" s="2" t="s">
        <v>93</v>
      </c>
    </row>
    <row r="79" customFormat="false" ht="15" hidden="false" customHeight="false" outlineLevel="0" collapsed="false">
      <c r="A79" s="2" t="s">
        <v>9</v>
      </c>
      <c r="B79" s="2" t="s">
        <v>32</v>
      </c>
      <c r="C79" s="2" t="s">
        <v>11</v>
      </c>
      <c r="D79" s="2" t="s">
        <v>92</v>
      </c>
      <c r="E79" s="2" t="s">
        <v>13</v>
      </c>
      <c r="F79" s="2" t="n">
        <v>1</v>
      </c>
      <c r="G79" s="2" t="n">
        <v>0</v>
      </c>
      <c r="H79" s="2" t="n">
        <v>0</v>
      </c>
      <c r="I79" s="2" t="s">
        <v>93</v>
      </c>
    </row>
    <row r="80" customFormat="false" ht="15" hidden="false" customHeight="false" outlineLevel="0" collapsed="false">
      <c r="A80" s="2" t="s">
        <v>9</v>
      </c>
      <c r="B80" s="2" t="s">
        <v>10</v>
      </c>
      <c r="C80" s="2" t="s">
        <v>11</v>
      </c>
      <c r="D80" s="2" t="s">
        <v>92</v>
      </c>
      <c r="E80" s="2" t="s">
        <v>13</v>
      </c>
      <c r="F80" s="2" t="n">
        <v>1</v>
      </c>
      <c r="G80" s="2" t="n">
        <v>36</v>
      </c>
      <c r="H80" s="2" t="n">
        <v>1</v>
      </c>
      <c r="I80" s="2" t="s">
        <v>94</v>
      </c>
    </row>
    <row r="81" customFormat="false" ht="15" hidden="false" customHeight="false" outlineLevel="0" collapsed="false">
      <c r="A81" s="2" t="s">
        <v>9</v>
      </c>
      <c r="B81" s="2" t="s">
        <v>10</v>
      </c>
      <c r="C81" s="2" t="s">
        <v>95</v>
      </c>
      <c r="D81" s="2" t="s">
        <v>11</v>
      </c>
      <c r="E81" s="2" t="s">
        <v>24</v>
      </c>
      <c r="F81" s="2" t="n">
        <v>10</v>
      </c>
      <c r="G81" s="2" t="n">
        <v>2</v>
      </c>
      <c r="H81" s="2" t="n">
        <v>2</v>
      </c>
      <c r="I81" s="2" t="s">
        <v>96</v>
      </c>
    </row>
    <row r="82" customFormat="false" ht="15" hidden="false" customHeight="false" outlineLevel="0" collapsed="false">
      <c r="A82" s="2" t="s">
        <v>9</v>
      </c>
      <c r="B82" s="2" t="s">
        <v>21</v>
      </c>
      <c r="C82" s="2" t="s">
        <v>97</v>
      </c>
      <c r="D82" s="2" t="s">
        <v>11</v>
      </c>
      <c r="E82" s="2" t="s">
        <v>13</v>
      </c>
      <c r="F82" s="2" t="n">
        <v>10</v>
      </c>
      <c r="G82" s="2" t="n">
        <v>3</v>
      </c>
      <c r="H82" s="2" t="n">
        <v>3</v>
      </c>
      <c r="I82" s="2" t="s">
        <v>98</v>
      </c>
    </row>
    <row r="83" customFormat="false" ht="15" hidden="false" customHeight="false" outlineLevel="0" collapsed="false">
      <c r="A83" s="2" t="s">
        <v>9</v>
      </c>
      <c r="B83" s="2" t="s">
        <v>21</v>
      </c>
      <c r="C83" s="2" t="s">
        <v>11</v>
      </c>
      <c r="D83" s="2" t="s">
        <v>99</v>
      </c>
      <c r="E83" s="2" t="s">
        <v>13</v>
      </c>
      <c r="F83" s="2" t="n">
        <v>5</v>
      </c>
      <c r="G83" s="2" t="n">
        <v>0</v>
      </c>
      <c r="H83" s="2" t="n">
        <v>0</v>
      </c>
      <c r="I83" s="2" t="s">
        <v>100</v>
      </c>
    </row>
    <row r="84" customFormat="false" ht="15" hidden="false" customHeight="false" outlineLevel="0" collapsed="false">
      <c r="A84" s="2" t="s">
        <v>9</v>
      </c>
      <c r="B84" s="2" t="s">
        <v>10</v>
      </c>
      <c r="C84" s="2" t="s">
        <v>95</v>
      </c>
      <c r="D84" s="2" t="s">
        <v>11</v>
      </c>
      <c r="E84" s="2" t="s">
        <v>13</v>
      </c>
      <c r="F84" s="2" t="n">
        <v>10</v>
      </c>
      <c r="G84" s="2" t="n">
        <v>2</v>
      </c>
      <c r="H84" s="2" t="n">
        <v>2</v>
      </c>
      <c r="I84" s="2" t="s">
        <v>101</v>
      </c>
    </row>
    <row r="85" customFormat="false" ht="15" hidden="false" customHeight="false" outlineLevel="0" collapsed="false">
      <c r="A85" s="2" t="s">
        <v>9</v>
      </c>
      <c r="B85" s="2" t="s">
        <v>21</v>
      </c>
      <c r="C85" s="2" t="s">
        <v>11</v>
      </c>
      <c r="D85" s="2" t="s">
        <v>102</v>
      </c>
      <c r="E85" s="2" t="s">
        <v>24</v>
      </c>
      <c r="F85" s="2" t="n">
        <v>20</v>
      </c>
      <c r="G85" s="2" t="n">
        <v>27</v>
      </c>
      <c r="H85" s="2" t="n">
        <v>20</v>
      </c>
      <c r="I85" s="2" t="s">
        <v>103</v>
      </c>
    </row>
    <row r="86" customFormat="false" ht="15" hidden="false" customHeight="false" outlineLevel="0" collapsed="false">
      <c r="A86" s="2" t="s">
        <v>9</v>
      </c>
      <c r="B86" s="2" t="s">
        <v>18</v>
      </c>
      <c r="C86" s="2" t="s">
        <v>104</v>
      </c>
      <c r="D86" s="2" t="s">
        <v>11</v>
      </c>
      <c r="E86" s="2" t="s">
        <v>13</v>
      </c>
      <c r="F86" s="2" t="n">
        <v>5</v>
      </c>
      <c r="G86" s="2" t="n">
        <v>39</v>
      </c>
      <c r="H86" s="2" t="n">
        <v>5</v>
      </c>
      <c r="I86" s="2" t="s">
        <v>105</v>
      </c>
    </row>
    <row r="87" customFormat="false" ht="15" hidden="false" customHeight="false" outlineLevel="0" collapsed="false">
      <c r="A87" s="2" t="s">
        <v>9</v>
      </c>
      <c r="B87" s="2" t="s">
        <v>18</v>
      </c>
      <c r="C87" s="2" t="s">
        <v>106</v>
      </c>
      <c r="D87" s="2" t="s">
        <v>11</v>
      </c>
      <c r="E87" s="2" t="s">
        <v>13</v>
      </c>
      <c r="F87" s="2" t="n">
        <v>15</v>
      </c>
      <c r="G87" s="2" t="n">
        <v>19</v>
      </c>
      <c r="H87" s="2" t="n">
        <v>15</v>
      </c>
      <c r="I87" s="2" t="s">
        <v>107</v>
      </c>
    </row>
    <row r="88" customFormat="false" ht="15" hidden="false" customHeight="false" outlineLevel="0" collapsed="false">
      <c r="A88" s="2" t="s">
        <v>9</v>
      </c>
      <c r="B88" s="2" t="s">
        <v>20</v>
      </c>
      <c r="C88" s="2" t="s">
        <v>108</v>
      </c>
      <c r="D88" s="2" t="s">
        <v>11</v>
      </c>
      <c r="E88" s="2" t="s">
        <v>13</v>
      </c>
      <c r="F88" s="2" t="n">
        <v>15</v>
      </c>
      <c r="G88" s="2" t="n">
        <v>2</v>
      </c>
      <c r="H88" s="2" t="n">
        <v>2</v>
      </c>
      <c r="I88" s="2" t="s">
        <v>109</v>
      </c>
    </row>
    <row r="89" customFormat="false" ht="15" hidden="false" customHeight="false" outlineLevel="0" collapsed="false">
      <c r="A89" s="2" t="s">
        <v>9</v>
      </c>
      <c r="B89" s="2" t="s">
        <v>23</v>
      </c>
      <c r="C89" s="2" t="s">
        <v>110</v>
      </c>
      <c r="D89" s="2" t="s">
        <v>11</v>
      </c>
      <c r="E89" s="2" t="s">
        <v>13</v>
      </c>
      <c r="F89" s="2" t="n">
        <v>15</v>
      </c>
      <c r="G89" s="2" t="n">
        <v>2</v>
      </c>
      <c r="H89" s="2" t="n">
        <v>2</v>
      </c>
      <c r="I89" s="2" t="s">
        <v>111</v>
      </c>
    </row>
    <row r="90" customFormat="false" ht="15" hidden="false" customHeight="false" outlineLevel="0" collapsed="false">
      <c r="A90" s="2" t="s">
        <v>9</v>
      </c>
      <c r="B90" s="2" t="s">
        <v>20</v>
      </c>
      <c r="C90" s="2" t="s">
        <v>112</v>
      </c>
      <c r="D90" s="2" t="s">
        <v>11</v>
      </c>
      <c r="E90" s="2" t="s">
        <v>13</v>
      </c>
      <c r="F90" s="2" t="n">
        <v>50</v>
      </c>
      <c r="G90" s="2" t="n">
        <v>38</v>
      </c>
      <c r="H90" s="2" t="n">
        <v>38</v>
      </c>
      <c r="I90" s="2" t="s">
        <v>113</v>
      </c>
    </row>
    <row r="91" customFormat="false" ht="15" hidden="false" customHeight="false" outlineLevel="0" collapsed="false">
      <c r="A91" s="2" t="s">
        <v>9</v>
      </c>
      <c r="B91" s="2" t="s">
        <v>23</v>
      </c>
      <c r="C91" s="2" t="s">
        <v>11</v>
      </c>
      <c r="D91" s="2" t="s">
        <v>16</v>
      </c>
      <c r="E91" s="2" t="s">
        <v>13</v>
      </c>
      <c r="F91" s="2" t="n">
        <v>50</v>
      </c>
      <c r="G91" s="2" t="n">
        <v>25</v>
      </c>
      <c r="H91" s="2" t="n">
        <v>25</v>
      </c>
      <c r="I91" s="2" t="s">
        <v>114</v>
      </c>
    </row>
    <row r="92" customFormat="false" ht="15" hidden="false" customHeight="false" outlineLevel="0" collapsed="false">
      <c r="A92" s="2" t="s">
        <v>9</v>
      </c>
      <c r="B92" s="2" t="s">
        <v>18</v>
      </c>
      <c r="C92" s="2" t="s">
        <v>11</v>
      </c>
      <c r="D92" s="2" t="s">
        <v>16</v>
      </c>
      <c r="E92" s="2" t="s">
        <v>13</v>
      </c>
      <c r="F92" s="2" t="n">
        <v>50</v>
      </c>
      <c r="G92" s="2" t="n">
        <v>39</v>
      </c>
      <c r="H92" s="2" t="n">
        <v>39</v>
      </c>
      <c r="I92" s="2" t="s">
        <v>115</v>
      </c>
    </row>
    <row r="93" customFormat="false" ht="15" hidden="false" customHeight="false" outlineLevel="0" collapsed="false">
      <c r="A93" s="2" t="s">
        <v>9</v>
      </c>
      <c r="B93" s="2" t="s">
        <v>28</v>
      </c>
      <c r="C93" s="2" t="s">
        <v>11</v>
      </c>
      <c r="D93" s="2" t="s">
        <v>16</v>
      </c>
      <c r="E93" s="2" t="s">
        <v>13</v>
      </c>
      <c r="F93" s="2" t="n">
        <v>50</v>
      </c>
      <c r="G93" s="2" t="n">
        <v>45</v>
      </c>
      <c r="H93" s="2" t="n">
        <v>45</v>
      </c>
      <c r="I93" s="2" t="s">
        <v>116</v>
      </c>
    </row>
    <row r="94" customFormat="false" ht="15" hidden="false" customHeight="false" outlineLevel="0" collapsed="false">
      <c r="A94" s="2" t="s">
        <v>9</v>
      </c>
      <c r="B94" s="2" t="s">
        <v>39</v>
      </c>
      <c r="C94" s="2" t="s">
        <v>11</v>
      </c>
      <c r="D94" s="2" t="s">
        <v>16</v>
      </c>
      <c r="E94" s="2" t="s">
        <v>24</v>
      </c>
      <c r="F94" s="2" t="n">
        <v>15</v>
      </c>
      <c r="G94" s="2" t="n">
        <v>15</v>
      </c>
      <c r="H94" s="2" t="n">
        <v>15</v>
      </c>
      <c r="I94" s="2" t="s">
        <v>117</v>
      </c>
    </row>
    <row r="95" customFormat="false" ht="15" hidden="false" customHeight="false" outlineLevel="0" collapsed="false">
      <c r="A95" s="2" t="s">
        <v>9</v>
      </c>
      <c r="B95" s="2" t="s">
        <v>118</v>
      </c>
      <c r="C95" s="2" t="s">
        <v>11</v>
      </c>
      <c r="D95" s="2" t="s">
        <v>16</v>
      </c>
      <c r="E95" s="2" t="s">
        <v>24</v>
      </c>
      <c r="F95" s="2" t="n">
        <v>5</v>
      </c>
      <c r="G95" s="2" t="n">
        <v>162</v>
      </c>
      <c r="H95" s="2" t="n">
        <v>5</v>
      </c>
      <c r="I95" s="2" t="s">
        <v>119</v>
      </c>
    </row>
    <row r="96" customFormat="false" ht="15" hidden="false" customHeight="false" outlineLevel="0" collapsed="false">
      <c r="A96" s="2" t="s">
        <v>9</v>
      </c>
      <c r="B96" s="2" t="s">
        <v>120</v>
      </c>
      <c r="C96" s="2" t="s">
        <v>11</v>
      </c>
      <c r="D96" s="2" t="s">
        <v>16</v>
      </c>
      <c r="E96" s="2" t="s">
        <v>24</v>
      </c>
      <c r="F96" s="2" t="n">
        <v>5</v>
      </c>
      <c r="G96" s="2" t="n">
        <v>0</v>
      </c>
      <c r="H96" s="2" t="n">
        <v>0</v>
      </c>
      <c r="I96" s="2" t="s">
        <v>121</v>
      </c>
    </row>
    <row r="97" customFormat="false" ht="15" hidden="false" customHeight="false" outlineLevel="0" collapsed="false">
      <c r="A97" s="2" t="s">
        <v>9</v>
      </c>
      <c r="B97" s="2" t="s">
        <v>122</v>
      </c>
      <c r="C97" s="2" t="s">
        <v>11</v>
      </c>
      <c r="D97" s="2" t="s">
        <v>16</v>
      </c>
      <c r="E97" s="2" t="s">
        <v>24</v>
      </c>
      <c r="F97" s="2" t="n">
        <v>5</v>
      </c>
      <c r="G97" s="2" t="n">
        <v>0</v>
      </c>
      <c r="H97" s="2" t="n">
        <v>0</v>
      </c>
      <c r="I97" s="2" t="s">
        <v>121</v>
      </c>
    </row>
    <row r="98" customFormat="false" ht="15" hidden="false" customHeight="false" outlineLevel="0" collapsed="false">
      <c r="A98" s="2" t="s">
        <v>9</v>
      </c>
      <c r="B98" s="2" t="s">
        <v>123</v>
      </c>
      <c r="C98" s="2" t="s">
        <v>11</v>
      </c>
      <c r="D98" s="2" t="s">
        <v>16</v>
      </c>
      <c r="E98" s="2" t="s">
        <v>24</v>
      </c>
      <c r="F98" s="2" t="n">
        <v>5</v>
      </c>
      <c r="G98" s="2" t="n">
        <v>0</v>
      </c>
      <c r="H98" s="2" t="n">
        <v>0</v>
      </c>
      <c r="I98" s="2" t="s">
        <v>124</v>
      </c>
    </row>
    <row r="99" customFormat="false" ht="15" hidden="false" customHeight="false" outlineLevel="0" collapsed="false">
      <c r="A99" s="2" t="s">
        <v>9</v>
      </c>
      <c r="B99" s="2" t="s">
        <v>125</v>
      </c>
      <c r="C99" s="2" t="s">
        <v>11</v>
      </c>
      <c r="D99" s="2" t="s">
        <v>16</v>
      </c>
      <c r="E99" s="2" t="s">
        <v>24</v>
      </c>
      <c r="F99" s="2" t="n">
        <v>5</v>
      </c>
      <c r="G99" s="2" t="n">
        <v>412</v>
      </c>
      <c r="H99" s="2" t="n">
        <v>5</v>
      </c>
      <c r="I99" s="2" t="s">
        <v>126</v>
      </c>
    </row>
    <row r="100" customFormat="false" ht="15" hidden="false" customHeight="false" outlineLevel="0" collapsed="false">
      <c r="A100" s="2" t="s">
        <v>9</v>
      </c>
      <c r="B100" s="2" t="s">
        <v>127</v>
      </c>
      <c r="C100" s="2" t="s">
        <v>11</v>
      </c>
      <c r="D100" s="2" t="s">
        <v>16</v>
      </c>
      <c r="E100" s="2" t="s">
        <v>13</v>
      </c>
      <c r="F100" s="2" t="n">
        <v>5</v>
      </c>
      <c r="G100" s="2" t="n">
        <v>0</v>
      </c>
      <c r="H100" s="2" t="n">
        <v>0</v>
      </c>
      <c r="I100" s="2" t="s">
        <v>128</v>
      </c>
    </row>
    <row r="101" customFormat="false" ht="15" hidden="false" customHeight="false" outlineLevel="0" collapsed="false">
      <c r="A101" s="2" t="s">
        <v>9</v>
      </c>
      <c r="B101" s="2" t="s">
        <v>129</v>
      </c>
      <c r="C101" s="2" t="s">
        <v>130</v>
      </c>
      <c r="D101" s="2" t="s">
        <v>11</v>
      </c>
      <c r="E101" s="2" t="s">
        <v>13</v>
      </c>
      <c r="F101" s="2" t="n">
        <v>10</v>
      </c>
      <c r="G101" s="2" t="n">
        <v>0</v>
      </c>
      <c r="H101" s="2" t="n">
        <v>0</v>
      </c>
      <c r="I101" s="2"/>
    </row>
    <row r="102" customFormat="false" ht="15" hidden="false" customHeight="false" outlineLevel="0" collapsed="false">
      <c r="A102" s="2" t="s">
        <v>9</v>
      </c>
      <c r="B102" s="2" t="s">
        <v>131</v>
      </c>
      <c r="C102" s="2" t="s">
        <v>132</v>
      </c>
      <c r="D102" s="2" t="s">
        <v>11</v>
      </c>
      <c r="E102" s="2" t="s">
        <v>13</v>
      </c>
      <c r="F102" s="2" t="n">
        <v>10</v>
      </c>
      <c r="G102" s="2" t="n">
        <v>501</v>
      </c>
      <c r="H102" s="2" t="n">
        <v>10</v>
      </c>
      <c r="I102" s="2" t="s">
        <v>133</v>
      </c>
    </row>
    <row r="103" customFormat="false" ht="15" hidden="false" customHeight="false" outlineLevel="0" collapsed="false">
      <c r="A103" s="2" t="s">
        <v>9</v>
      </c>
      <c r="B103" s="2" t="s">
        <v>134</v>
      </c>
      <c r="C103" s="2" t="s">
        <v>135</v>
      </c>
      <c r="D103" s="2" t="s">
        <v>11</v>
      </c>
      <c r="E103" s="2" t="s">
        <v>13</v>
      </c>
      <c r="F103" s="2" t="n">
        <v>10</v>
      </c>
      <c r="G103" s="2" t="n">
        <v>0</v>
      </c>
      <c r="H103" s="2" t="n">
        <v>0</v>
      </c>
      <c r="I103" s="2"/>
    </row>
    <row r="104" customFormat="false" ht="15" hidden="false" customHeight="false" outlineLevel="0" collapsed="false">
      <c r="A104" s="2" t="s">
        <v>9</v>
      </c>
      <c r="B104" s="2" t="s">
        <v>134</v>
      </c>
      <c r="C104" s="2" t="s">
        <v>136</v>
      </c>
      <c r="D104" s="2" t="s">
        <v>11</v>
      </c>
      <c r="E104" s="2" t="s">
        <v>13</v>
      </c>
      <c r="F104" s="2" t="n">
        <v>10</v>
      </c>
      <c r="G104" s="2" t="n">
        <v>1</v>
      </c>
      <c r="H104" s="2" t="n">
        <v>1</v>
      </c>
      <c r="I104" s="2" t="s">
        <v>137</v>
      </c>
    </row>
    <row r="105" customFormat="false" ht="15" hidden="false" customHeight="false" outlineLevel="0" collapsed="false">
      <c r="A105" s="2" t="s">
        <v>9</v>
      </c>
      <c r="B105" s="2" t="s">
        <v>138</v>
      </c>
      <c r="C105" s="2" t="s">
        <v>136</v>
      </c>
      <c r="D105" s="2" t="s">
        <v>11</v>
      </c>
      <c r="E105" s="2" t="s">
        <v>13</v>
      </c>
      <c r="F105" s="2" t="n">
        <v>10</v>
      </c>
      <c r="G105" s="2" t="n">
        <v>0</v>
      </c>
      <c r="H105" s="2" t="n">
        <v>0</v>
      </c>
      <c r="I105" s="2"/>
    </row>
    <row r="106" customFormat="false" ht="15" hidden="false" customHeight="false" outlineLevel="0" collapsed="false">
      <c r="A106" s="2" t="s">
        <v>9</v>
      </c>
      <c r="B106" s="2" t="s">
        <v>10</v>
      </c>
      <c r="C106" s="2" t="s">
        <v>11</v>
      </c>
      <c r="D106" s="2" t="s">
        <v>139</v>
      </c>
      <c r="E106" s="2" t="s">
        <v>13</v>
      </c>
      <c r="F106" s="2" t="n">
        <v>3</v>
      </c>
      <c r="G106" s="2" t="n">
        <v>46</v>
      </c>
      <c r="H106" s="2" t="n">
        <v>3</v>
      </c>
      <c r="I106" s="2"/>
    </row>
    <row r="107" customFormat="false" ht="15" hidden="false" customHeight="false" outlineLevel="0" collapsed="false">
      <c r="A107" s="2" t="s">
        <v>9</v>
      </c>
      <c r="B107" s="2" t="s">
        <v>134</v>
      </c>
      <c r="C107" s="2" t="s">
        <v>11</v>
      </c>
      <c r="D107" s="2" t="s">
        <v>140</v>
      </c>
      <c r="E107" s="2" t="s">
        <v>24</v>
      </c>
      <c r="F107" s="2" t="n">
        <v>20</v>
      </c>
      <c r="G107" s="2" t="n">
        <v>56</v>
      </c>
      <c r="H107" s="2" t="n">
        <v>20</v>
      </c>
      <c r="I107" s="2" t="s">
        <v>141</v>
      </c>
    </row>
    <row r="108" customFormat="false" ht="15" hidden="false" customHeight="false" outlineLevel="0" collapsed="false">
      <c r="A108" s="2" t="s">
        <v>9</v>
      </c>
      <c r="B108" s="2" t="s">
        <v>18</v>
      </c>
      <c r="C108" s="2" t="s">
        <v>136</v>
      </c>
      <c r="D108" s="2" t="s">
        <v>11</v>
      </c>
      <c r="E108" s="2" t="s">
        <v>13</v>
      </c>
      <c r="F108" s="2" t="n">
        <v>15</v>
      </c>
      <c r="G108" s="2" t="n">
        <v>0</v>
      </c>
      <c r="H108" s="2" t="n">
        <v>0</v>
      </c>
      <c r="I108" s="2"/>
    </row>
    <row r="109" customFormat="false" ht="15" hidden="false" customHeight="false" outlineLevel="0" collapsed="false">
      <c r="A109" s="2" t="s">
        <v>9</v>
      </c>
      <c r="B109" s="2" t="s">
        <v>142</v>
      </c>
      <c r="C109" s="2" t="s">
        <v>136</v>
      </c>
      <c r="D109" s="2" t="s">
        <v>11</v>
      </c>
      <c r="E109" s="2" t="s">
        <v>13</v>
      </c>
      <c r="F109" s="2" t="n">
        <v>10</v>
      </c>
      <c r="G109" s="2" t="n">
        <v>2</v>
      </c>
      <c r="H109" s="2" t="n">
        <v>2</v>
      </c>
      <c r="I109" s="2" t="s">
        <v>137</v>
      </c>
    </row>
    <row r="110" customFormat="false" ht="15" hidden="false" customHeight="false" outlineLevel="0" collapsed="false">
      <c r="A110" s="2" t="s">
        <v>9</v>
      </c>
      <c r="B110" s="2" t="s">
        <v>143</v>
      </c>
      <c r="C110" s="2" t="s">
        <v>136</v>
      </c>
      <c r="D110" s="2" t="s">
        <v>11</v>
      </c>
      <c r="E110" s="2" t="s">
        <v>13</v>
      </c>
      <c r="F110" s="2" t="n">
        <v>10</v>
      </c>
      <c r="G110" s="2" t="n">
        <v>0</v>
      </c>
      <c r="H110" s="2" t="n">
        <v>0</v>
      </c>
      <c r="I110" s="2"/>
    </row>
    <row r="111" customFormat="false" ht="15" hidden="false" customHeight="false" outlineLevel="0" collapsed="false">
      <c r="A111" s="2" t="s">
        <v>9</v>
      </c>
      <c r="B111" s="2" t="s">
        <v>134</v>
      </c>
      <c r="C111" s="2" t="s">
        <v>11</v>
      </c>
      <c r="D111" s="2" t="s">
        <v>140</v>
      </c>
      <c r="E111" s="2" t="s">
        <v>13</v>
      </c>
      <c r="F111" s="2" t="n">
        <v>50</v>
      </c>
      <c r="G111" s="2" t="n">
        <v>1</v>
      </c>
      <c r="H111" s="2" t="n">
        <v>1</v>
      </c>
      <c r="I111" s="2" t="s">
        <v>144</v>
      </c>
    </row>
    <row r="112" customFormat="false" ht="15" hidden="false" customHeight="false" outlineLevel="0" collapsed="false">
      <c r="A112" s="2" t="s">
        <v>9</v>
      </c>
      <c r="B112" s="2" t="s">
        <v>142</v>
      </c>
      <c r="C112" s="2" t="s">
        <v>11</v>
      </c>
      <c r="D112" s="2" t="s">
        <v>140</v>
      </c>
      <c r="E112" s="2" t="s">
        <v>13</v>
      </c>
      <c r="F112" s="2" t="n">
        <v>2</v>
      </c>
      <c r="G112" s="2" t="n">
        <v>2</v>
      </c>
      <c r="H112" s="2" t="n">
        <v>2</v>
      </c>
      <c r="I112" s="2" t="s">
        <v>145</v>
      </c>
    </row>
    <row r="113" customFormat="false" ht="15" hidden="false" customHeight="false" outlineLevel="0" collapsed="false">
      <c r="A113" s="2" t="s">
        <v>9</v>
      </c>
      <c r="B113" s="2" t="s">
        <v>18</v>
      </c>
      <c r="C113" s="2" t="s">
        <v>11</v>
      </c>
      <c r="D113" s="2" t="s">
        <v>140</v>
      </c>
      <c r="E113" s="2" t="s">
        <v>13</v>
      </c>
      <c r="F113" s="2" t="n">
        <v>2</v>
      </c>
      <c r="G113" s="2" t="n">
        <v>0</v>
      </c>
      <c r="H113" s="2" t="n">
        <v>0</v>
      </c>
      <c r="I113" s="2"/>
    </row>
    <row r="114" customFormat="false" ht="15" hidden="false" customHeight="false" outlineLevel="0" collapsed="false">
      <c r="A114" s="2" t="s">
        <v>9</v>
      </c>
      <c r="B114" s="2" t="s">
        <v>146</v>
      </c>
      <c r="C114" s="2" t="s">
        <v>11</v>
      </c>
      <c r="D114" s="2" t="s">
        <v>140</v>
      </c>
      <c r="E114" s="2" t="s">
        <v>13</v>
      </c>
      <c r="F114" s="2" t="n">
        <v>2</v>
      </c>
      <c r="G114" s="2" t="n">
        <v>2</v>
      </c>
      <c r="H114" s="2" t="n">
        <v>2</v>
      </c>
      <c r="I114" s="2" t="s">
        <v>145</v>
      </c>
    </row>
    <row r="115" customFormat="false" ht="15" hidden="false" customHeight="false" outlineLevel="0" collapsed="false">
      <c r="A115" s="2" t="s">
        <v>9</v>
      </c>
      <c r="B115" s="2" t="s">
        <v>10</v>
      </c>
      <c r="C115" s="2" t="s">
        <v>147</v>
      </c>
      <c r="D115" s="2" t="s">
        <v>11</v>
      </c>
      <c r="E115" s="2" t="s">
        <v>13</v>
      </c>
      <c r="F115" s="2" t="n">
        <v>50</v>
      </c>
      <c r="G115" s="2" t="n">
        <v>49</v>
      </c>
      <c r="H115" s="2" t="n">
        <v>49</v>
      </c>
      <c r="I115" s="2" t="s">
        <v>148</v>
      </c>
    </row>
    <row r="116" customFormat="false" ht="15" hidden="false" customHeight="false" outlineLevel="0" collapsed="false">
      <c r="A116" s="2" t="s">
        <v>9</v>
      </c>
      <c r="B116" s="2" t="s">
        <v>149</v>
      </c>
      <c r="C116" s="2" t="s">
        <v>11</v>
      </c>
      <c r="D116" s="2" t="s">
        <v>150</v>
      </c>
      <c r="E116" s="2" t="s">
        <v>13</v>
      </c>
      <c r="F116" s="2" t="n">
        <v>2</v>
      </c>
      <c r="G116" s="2" t="n">
        <v>29</v>
      </c>
      <c r="H116" s="2" t="n">
        <v>2</v>
      </c>
      <c r="I116" s="2"/>
    </row>
    <row r="117" customFormat="false" ht="15" hidden="false" customHeight="false" outlineLevel="0" collapsed="false">
      <c r="A117" s="2" t="s">
        <v>9</v>
      </c>
      <c r="B117" s="2" t="s">
        <v>151</v>
      </c>
      <c r="C117" s="2" t="s">
        <v>11</v>
      </c>
      <c r="D117" s="2" t="s">
        <v>16</v>
      </c>
      <c r="E117" s="2" t="s">
        <v>13</v>
      </c>
      <c r="F117" s="2" t="n">
        <v>2</v>
      </c>
      <c r="G117" s="2" t="n">
        <v>0</v>
      </c>
      <c r="H117" s="2" t="n">
        <v>0</v>
      </c>
      <c r="I117" s="2" t="s">
        <v>152</v>
      </c>
    </row>
    <row r="118" customFormat="false" ht="15" hidden="false" customHeight="false" outlineLevel="0" collapsed="false">
      <c r="A118" s="2" t="s">
        <v>9</v>
      </c>
      <c r="B118" s="2" t="s">
        <v>15</v>
      </c>
      <c r="C118" s="2" t="s">
        <v>41</v>
      </c>
      <c r="D118" s="2" t="s">
        <v>11</v>
      </c>
      <c r="E118" s="2" t="s">
        <v>24</v>
      </c>
      <c r="F118" s="2" t="n">
        <v>5</v>
      </c>
      <c r="G118" s="2" t="n">
        <v>0</v>
      </c>
      <c r="H118" s="2" t="n">
        <v>0</v>
      </c>
      <c r="I118" s="2" t="s">
        <v>153</v>
      </c>
    </row>
    <row r="119" customFormat="false" ht="15" hidden="false" customHeight="false" outlineLevel="0" collapsed="false">
      <c r="A119" s="2" t="s">
        <v>9</v>
      </c>
      <c r="B119" s="2" t="s">
        <v>21</v>
      </c>
      <c r="C119" s="2" t="s">
        <v>11</v>
      </c>
      <c r="D119" s="2" t="s">
        <v>16</v>
      </c>
      <c r="E119" s="2" t="s">
        <v>13</v>
      </c>
      <c r="F119" s="2" t="n">
        <v>2</v>
      </c>
      <c r="G119" s="2" t="n">
        <v>0</v>
      </c>
      <c r="H119" s="2" t="n">
        <v>0</v>
      </c>
      <c r="I119" s="2" t="s">
        <v>154</v>
      </c>
    </row>
    <row r="120" customFormat="false" ht="15" hidden="false" customHeight="false" outlineLevel="0" collapsed="false">
      <c r="A120" s="2" t="s">
        <v>9</v>
      </c>
      <c r="B120" s="2" t="s">
        <v>18</v>
      </c>
      <c r="C120" s="2" t="s">
        <v>11</v>
      </c>
      <c r="D120" s="2" t="s">
        <v>155</v>
      </c>
      <c r="E120" s="2" t="s">
        <v>13</v>
      </c>
      <c r="F120" s="2" t="n">
        <v>1</v>
      </c>
      <c r="G120" s="2" t="n">
        <v>0</v>
      </c>
      <c r="H120" s="2" t="n">
        <v>0</v>
      </c>
      <c r="I120" s="2"/>
    </row>
    <row r="121" customFormat="false" ht="15" hidden="false" customHeight="false" outlineLevel="0" collapsed="false">
      <c r="A121" s="2" t="s">
        <v>9</v>
      </c>
      <c r="B121" s="2" t="s">
        <v>134</v>
      </c>
      <c r="C121" s="2" t="s">
        <v>11</v>
      </c>
      <c r="D121" s="2" t="s">
        <v>155</v>
      </c>
      <c r="E121" s="2" t="s">
        <v>13</v>
      </c>
      <c r="F121" s="2" t="n">
        <v>1</v>
      </c>
      <c r="G121" s="2" t="n">
        <v>0</v>
      </c>
      <c r="H121" s="2" t="n">
        <v>0</v>
      </c>
      <c r="I121" s="2"/>
    </row>
    <row r="122" customFormat="false" ht="15" hidden="false" customHeight="false" outlineLevel="0" collapsed="false">
      <c r="A122" s="2" t="s">
        <v>9</v>
      </c>
      <c r="B122" s="2" t="s">
        <v>20</v>
      </c>
      <c r="C122" s="2" t="s">
        <v>11</v>
      </c>
      <c r="D122" s="2" t="s">
        <v>155</v>
      </c>
      <c r="E122" s="2" t="s">
        <v>13</v>
      </c>
      <c r="F122" s="2" t="n">
        <v>1</v>
      </c>
      <c r="G122" s="2" t="n">
        <v>16</v>
      </c>
      <c r="H122" s="2" t="n">
        <v>1</v>
      </c>
      <c r="I122" s="2" t="s">
        <v>156</v>
      </c>
    </row>
    <row r="123" customFormat="false" ht="15" hidden="false" customHeight="false" outlineLevel="0" collapsed="false">
      <c r="A123" s="2" t="s">
        <v>9</v>
      </c>
      <c r="B123" s="2" t="s">
        <v>23</v>
      </c>
      <c r="C123" s="2" t="s">
        <v>11</v>
      </c>
      <c r="D123" s="2" t="s">
        <v>155</v>
      </c>
      <c r="E123" s="2" t="s">
        <v>13</v>
      </c>
      <c r="F123" s="2" t="n">
        <v>1</v>
      </c>
      <c r="G123" s="2" t="n">
        <v>27</v>
      </c>
      <c r="H123" s="2" t="n">
        <v>1</v>
      </c>
      <c r="I123" s="2" t="s">
        <v>156</v>
      </c>
    </row>
    <row r="124" customFormat="false" ht="15" hidden="false" customHeight="false" outlineLevel="0" collapsed="false">
      <c r="A124" s="2" t="s">
        <v>9</v>
      </c>
      <c r="B124" s="2" t="s">
        <v>15</v>
      </c>
      <c r="C124" s="2" t="s">
        <v>11</v>
      </c>
      <c r="D124" s="2" t="s">
        <v>155</v>
      </c>
      <c r="E124" s="2" t="s">
        <v>13</v>
      </c>
      <c r="F124" s="2" t="n">
        <v>1</v>
      </c>
      <c r="G124" s="2" t="n">
        <v>0</v>
      </c>
      <c r="H124" s="2" t="n">
        <v>0</v>
      </c>
      <c r="I124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6"/>
    <col collapsed="false" customWidth="true" hidden="false" outlineLevel="0" max="3" min="3" style="0" width="38"/>
    <col collapsed="false" customWidth="true" hidden="false" outlineLevel="0" max="4" min="4" style="0" width="9"/>
    <col collapsed="false" customWidth="true" hidden="false" outlineLevel="0" max="8" min="5" style="0" width="11"/>
    <col collapsed="false" customWidth="true" hidden="false" outlineLevel="0" max="9" min="9" style="0" width="12"/>
    <col collapsed="false" customWidth="true" hidden="false" outlineLevel="0" max="10" min="10" style="0" width="30"/>
  </cols>
  <sheetData>
    <row r="1" customFormat="false" ht="45" hidden="false" customHeight="true" outlineLevel="0" collapsed="false">
      <c r="A1" s="3" t="s">
        <v>157</v>
      </c>
      <c r="B1" s="3"/>
      <c r="C1" s="3"/>
      <c r="D1" s="3"/>
      <c r="E1" s="3"/>
      <c r="F1" s="3"/>
      <c r="G1" s="3"/>
      <c r="H1" s="3"/>
      <c r="I1" s="3"/>
      <c r="J1" s="3"/>
    </row>
    <row r="2" customFormat="false" ht="15" hidden="false" customHeight="false" outlineLevel="0" collapsed="false">
      <c r="A2" s="1" t="s">
        <v>1</v>
      </c>
      <c r="B2" s="1" t="s">
        <v>2</v>
      </c>
      <c r="C2" s="1" t="s">
        <v>3</v>
      </c>
      <c r="D2" s="1" t="s">
        <v>4</v>
      </c>
      <c r="E2" s="1" t="s">
        <v>9</v>
      </c>
      <c r="F2" s="1" t="s">
        <v>158</v>
      </c>
      <c r="G2" s="1" t="s">
        <v>159</v>
      </c>
      <c r="H2" s="1" t="s">
        <v>160</v>
      </c>
      <c r="I2" s="1" t="s">
        <v>161</v>
      </c>
      <c r="J2" s="1" t="s">
        <v>162</v>
      </c>
    </row>
    <row r="3" customFormat="false" ht="15" hidden="false" customHeight="false" outlineLevel="0" collapsed="false">
      <c r="A3" s="0" t="s">
        <v>20</v>
      </c>
      <c r="B3" s="0" t="s">
        <v>11</v>
      </c>
      <c r="C3" s="0" t="s">
        <v>16</v>
      </c>
      <c r="D3" s="0" t="s">
        <v>13</v>
      </c>
      <c r="E3" s="4" t="n">
        <v>38</v>
      </c>
      <c r="F3" s="5"/>
      <c r="G3" s="5"/>
      <c r="H3" s="5"/>
      <c r="I3" s="0" t="str">
        <f aca="false">IF(COUNT(E3:H3)&lt;2,"",INDEX(E3:H3,COUNT(E3:H3))-INDEX(E3:H3,COUNT(E3:H3)-1))</f>
        <v/>
      </c>
      <c r="J3" s="0" t="str">
        <f aca="false">IF(COUNT(E3:H3)&lt;2,"",IF(ABS(I3)&gt;0.5*MAX(1,INDEX(E3:H3,COUNT(E3:H3)-1)),"SIN CONFIRMAR: revisar en 24 h","ok"))</f>
        <v/>
      </c>
    </row>
    <row r="4" customFormat="false" ht="15" hidden="false" customHeight="false" outlineLevel="0" collapsed="false">
      <c r="A4" s="0" t="s">
        <v>23</v>
      </c>
      <c r="B4" s="0" t="s">
        <v>11</v>
      </c>
      <c r="C4" s="0" t="s">
        <v>16</v>
      </c>
      <c r="D4" s="0" t="s">
        <v>13</v>
      </c>
      <c r="E4" s="4" t="n">
        <v>25</v>
      </c>
      <c r="F4" s="5"/>
      <c r="G4" s="5"/>
      <c r="H4" s="5"/>
      <c r="I4" s="0" t="str">
        <f aca="false">IF(COUNT(E4:H4)&lt;2,"",INDEX(E4:H4,COUNT(E4:H4))-INDEX(E4:H4,COUNT(E4:H4)-1))</f>
        <v/>
      </c>
      <c r="J4" s="0" t="str">
        <f aca="false">IF(COUNT(E4:H4)&lt;2,"",IF(ABS(I4)&gt;0.5*MAX(1,INDEX(E4:H4,COUNT(E4:H4)-1)),"SIN CONFIRMAR: revisar en 24 h","ok"))</f>
        <v/>
      </c>
    </row>
    <row r="5" customFormat="false" ht="15" hidden="false" customHeight="false" outlineLevel="0" collapsed="false">
      <c r="A5" s="0" t="s">
        <v>18</v>
      </c>
      <c r="B5" s="0" t="s">
        <v>11</v>
      </c>
      <c r="C5" s="0" t="s">
        <v>16</v>
      </c>
      <c r="D5" s="0" t="s">
        <v>13</v>
      </c>
      <c r="E5" s="4" t="n">
        <v>39</v>
      </c>
      <c r="F5" s="5"/>
      <c r="G5" s="5"/>
      <c r="H5" s="5"/>
      <c r="I5" s="0" t="str">
        <f aca="false">IF(COUNT(E5:H5)&lt;2,"",INDEX(E5:H5,COUNT(E5:H5))-INDEX(E5:H5,COUNT(E5:H5)-1))</f>
        <v/>
      </c>
      <c r="J5" s="0" t="str">
        <f aca="false">IF(COUNT(E5:H5)&lt;2,"",IF(ABS(I5)&gt;0.5*MAX(1,INDEX(E5:H5,COUNT(E5:H5)-1)),"SIN CONFIRMAR: revisar en 24 h","ok"))</f>
        <v/>
      </c>
    </row>
    <row r="6" customFormat="false" ht="15" hidden="false" customHeight="false" outlineLevel="0" collapsed="false">
      <c r="A6" s="0" t="s">
        <v>28</v>
      </c>
      <c r="B6" s="0" t="s">
        <v>11</v>
      </c>
      <c r="C6" s="0" t="s">
        <v>16</v>
      </c>
      <c r="D6" s="0" t="s">
        <v>13</v>
      </c>
      <c r="E6" s="4" t="n">
        <v>45</v>
      </c>
      <c r="F6" s="5"/>
      <c r="G6" s="5"/>
      <c r="H6" s="5"/>
      <c r="I6" s="0" t="str">
        <f aca="false">IF(COUNT(E6:H6)&lt;2,"",INDEX(E6:H6,COUNT(E6:H6))-INDEX(E6:H6,COUNT(E6:H6)-1))</f>
        <v/>
      </c>
      <c r="J6" s="0" t="str">
        <f aca="false">IF(COUNT(E6:H6)&lt;2,"",IF(ABS(I6)&gt;0.5*MAX(1,INDEX(E6:H6,COUNT(E6:H6)-1)),"SIN CONFIRMAR: revisar en 24 h","ok"))</f>
        <v/>
      </c>
    </row>
    <row r="7" customFormat="false" ht="15" hidden="false" customHeight="false" outlineLevel="0" collapsed="false">
      <c r="A7" s="0" t="s">
        <v>21</v>
      </c>
      <c r="B7" s="0" t="s">
        <v>11</v>
      </c>
      <c r="C7" s="0" t="s">
        <v>16</v>
      </c>
      <c r="D7" s="0" t="s">
        <v>13</v>
      </c>
      <c r="E7" s="4" t="n">
        <v>0</v>
      </c>
      <c r="F7" s="5"/>
      <c r="G7" s="5"/>
      <c r="H7" s="5"/>
      <c r="I7" s="0" t="str">
        <f aca="false">IF(COUNT(E7:H7)&lt;2,"",INDEX(E7:H7,COUNT(E7:H7))-INDEX(E7:H7,COUNT(E7:H7)-1))</f>
        <v/>
      </c>
      <c r="J7" s="0" t="str">
        <f aca="false">IF(COUNT(E7:H7)&lt;2,"",IF(ABS(I7)&gt;0.5*MAX(1,INDEX(E7:H7,COUNT(E7:H7)-1)),"SIN CONFIRMAR: revisar en 24 h","ok"))</f>
        <v/>
      </c>
    </row>
    <row r="8" customFormat="false" ht="15" hidden="false" customHeight="false" outlineLevel="0" collapsed="false">
      <c r="A8" s="0" t="s">
        <v>21</v>
      </c>
      <c r="B8" s="0" t="s">
        <v>95</v>
      </c>
      <c r="C8" s="0" t="s">
        <v>11</v>
      </c>
      <c r="D8" s="0" t="s">
        <v>13</v>
      </c>
      <c r="E8" s="4" t="n">
        <v>2</v>
      </c>
      <c r="F8" s="5"/>
      <c r="G8" s="5"/>
      <c r="H8" s="5"/>
      <c r="I8" s="0" t="str">
        <f aca="false">IF(COUNT(E8:H8)&lt;2,"",INDEX(E8:H8,COUNT(E8:H8))-INDEX(E8:H8,COUNT(E8:H8)-1))</f>
        <v/>
      </c>
      <c r="J8" s="0" t="str">
        <f aca="false">IF(COUNT(E8:H8)&lt;2,"",IF(ABS(I8)&gt;0.5*MAX(1,INDEX(E8:H8,COUNT(E8:H8)-1)),"SIN CONFIRMAR: revisar en 24 h","ok"))</f>
        <v/>
      </c>
    </row>
    <row r="9" customFormat="false" ht="15" hidden="false" customHeight="false" outlineLevel="0" collapsed="false">
      <c r="A9" s="0" t="s">
        <v>39</v>
      </c>
      <c r="B9" s="0" t="s">
        <v>11</v>
      </c>
      <c r="C9" s="0" t="s">
        <v>16</v>
      </c>
      <c r="D9" s="0" t="s">
        <v>13</v>
      </c>
      <c r="E9" s="4" t="n">
        <v>2</v>
      </c>
      <c r="F9" s="5"/>
      <c r="G9" s="5"/>
      <c r="H9" s="5"/>
      <c r="I9" s="0" t="str">
        <f aca="false">IF(COUNT(E9:H9)&lt;2,"",INDEX(E9:H9,COUNT(E9:H9))-INDEX(E9:H9,COUNT(E9:H9)-1))</f>
        <v/>
      </c>
      <c r="J9" s="0" t="str">
        <f aca="false">IF(COUNT(E9:H9)&lt;2,"",IF(ABS(I9)&gt;0.5*MAX(1,INDEX(E9:H9,COUNT(E9:H9)-1)),"SIN CONFIRMAR: revisar en 24 h","ok"))</f>
        <v/>
      </c>
    </row>
    <row r="10" customFormat="false" ht="15" hidden="false" customHeight="false" outlineLevel="0" collapsed="false">
      <c r="A10" s="0" t="s">
        <v>15</v>
      </c>
      <c r="B10" s="0" t="s">
        <v>11</v>
      </c>
      <c r="C10" s="0" t="s">
        <v>16</v>
      </c>
      <c r="D10" s="0" t="s">
        <v>13</v>
      </c>
      <c r="E10" s="4" t="n">
        <v>0</v>
      </c>
      <c r="F10" s="5"/>
      <c r="G10" s="5"/>
      <c r="H10" s="5"/>
      <c r="I10" s="0" t="str">
        <f aca="false">IF(COUNT(E10:H10)&lt;2,"",INDEX(E10:H10,COUNT(E10:H10))-INDEX(E10:H10,COUNT(E10:H10)-1))</f>
        <v/>
      </c>
      <c r="J10" s="0" t="str">
        <f aca="false">IF(COUNT(E10:H10)&lt;2,"",IF(ABS(I10)&gt;0.5*MAX(1,INDEX(E10:H10,COUNT(E10:H10)-1)),"SIN CONFIRMAR: revisar en 24 h","ok"))</f>
        <v/>
      </c>
    </row>
    <row r="11" customFormat="false" ht="15" hidden="false" customHeight="false" outlineLevel="0" collapsed="false">
      <c r="A11" s="0" t="s">
        <v>31</v>
      </c>
      <c r="B11" s="0" t="s">
        <v>11</v>
      </c>
      <c r="C11" s="0" t="s">
        <v>16</v>
      </c>
      <c r="D11" s="0" t="s">
        <v>13</v>
      </c>
      <c r="E11" s="4" t="n">
        <v>0</v>
      </c>
      <c r="F11" s="5"/>
      <c r="G11" s="5"/>
      <c r="H11" s="5"/>
      <c r="I11" s="0" t="str">
        <f aca="false">IF(COUNT(E11:H11)&lt;2,"",INDEX(E11:H11,COUNT(E11:H11))-INDEX(E11:H11,COUNT(E11:H11)-1))</f>
        <v/>
      </c>
      <c r="J11" s="0" t="str">
        <f aca="false">IF(COUNT(E11:H11)&lt;2,"",IF(ABS(I11)&gt;0.5*MAX(1,INDEX(E11:H11,COUNT(E11:H11)-1)),"SIN CONFIRMAR: revisar en 24 h","ok"))</f>
        <v/>
      </c>
    </row>
    <row r="12" customFormat="false" ht="15" hidden="false" customHeight="false" outlineLevel="0" collapsed="false">
      <c r="A12" s="0" t="s">
        <v>32</v>
      </c>
      <c r="B12" s="0" t="s">
        <v>11</v>
      </c>
      <c r="C12" s="0" t="s">
        <v>16</v>
      </c>
      <c r="D12" s="0" t="s">
        <v>13</v>
      </c>
      <c r="E12" s="4" t="n">
        <v>0</v>
      </c>
      <c r="F12" s="5"/>
      <c r="G12" s="5"/>
      <c r="H12" s="5"/>
      <c r="I12" s="0" t="str">
        <f aca="false">IF(COUNT(E12:H12)&lt;2,"",INDEX(E12:H12,COUNT(E12:H12))-INDEX(E12:H12,COUNT(E12:H12)-1))</f>
        <v/>
      </c>
      <c r="J12" s="0" t="str">
        <f aca="false">IF(COUNT(E12:H12)&lt;2,"",IF(ABS(I12)&gt;0.5*MAX(1,INDEX(E12:H12,COUNT(E12:H12)-1)),"SIN CONFIRMAR: revisar en 24 h","ok"))</f>
        <v/>
      </c>
    </row>
    <row r="13" customFormat="false" ht="15" hidden="false" customHeight="false" outlineLevel="0" collapsed="false">
      <c r="A13" s="0" t="s">
        <v>33</v>
      </c>
      <c r="B13" s="0" t="s">
        <v>11</v>
      </c>
      <c r="C13" s="0" t="s">
        <v>16</v>
      </c>
      <c r="D13" s="0" t="s">
        <v>13</v>
      </c>
      <c r="E13" s="4" t="n">
        <v>0</v>
      </c>
      <c r="F13" s="5"/>
      <c r="G13" s="5"/>
      <c r="H13" s="5"/>
      <c r="I13" s="0" t="str">
        <f aca="false">IF(COUNT(E13:H13)&lt;2,"",INDEX(E13:H13,COUNT(E13:H13))-INDEX(E13:H13,COUNT(E13:H13)-1))</f>
        <v/>
      </c>
      <c r="J13" s="0" t="str">
        <f aca="false">IF(COUNT(E13:H13)&lt;2,"",IF(ABS(I13)&gt;0.5*MAX(1,INDEX(E13:H13,COUNT(E13:H13)-1)),"SIN CONFIRMAR: revisar en 24 h","ok"))</f>
        <v/>
      </c>
    </row>
    <row r="14" customFormat="false" ht="15" hidden="false" customHeight="false" outlineLevel="0" collapsed="false">
      <c r="A14" s="0" t="s">
        <v>30</v>
      </c>
      <c r="B14" s="0" t="s">
        <v>11</v>
      </c>
      <c r="C14" s="0" t="s">
        <v>16</v>
      </c>
      <c r="D14" s="0" t="s">
        <v>13</v>
      </c>
      <c r="E14" s="4" t="n">
        <v>0</v>
      </c>
      <c r="F14" s="5"/>
      <c r="G14" s="5"/>
      <c r="H14" s="5"/>
      <c r="I14" s="0" t="str">
        <f aca="false">IF(COUNT(E14:H14)&lt;2,"",INDEX(E14:H14,COUNT(E14:H14))-INDEX(E14:H14,COUNT(E14:H14)-1))</f>
        <v/>
      </c>
      <c r="J14" s="0" t="str">
        <f aca="false">IF(COUNT(E14:H14)&lt;2,"",IF(ABS(I14)&gt;0.5*MAX(1,INDEX(E14:H14,COUNT(E14:H14)-1)),"SIN CONFIRMAR: revisar en 24 h","ok"))</f>
        <v/>
      </c>
    </row>
    <row r="15" customFormat="false" ht="15" hidden="false" customHeight="false" outlineLevel="0" collapsed="false">
      <c r="A15" s="0" t="s">
        <v>50</v>
      </c>
      <c r="B15" s="0" t="s">
        <v>11</v>
      </c>
      <c r="C15" s="0" t="s">
        <v>16</v>
      </c>
      <c r="D15" s="0" t="s">
        <v>13</v>
      </c>
      <c r="E15" s="4" t="n">
        <v>0</v>
      </c>
      <c r="F15" s="5"/>
      <c r="G15" s="5"/>
      <c r="H15" s="5"/>
      <c r="I15" s="0" t="str">
        <f aca="false">IF(COUNT(E15:H15)&lt;2,"",INDEX(E15:H15,COUNT(E15:H15))-INDEX(E15:H15,COUNT(E15:H15)-1))</f>
        <v/>
      </c>
      <c r="J15" s="0" t="str">
        <f aca="false">IF(COUNT(E15:H15)&lt;2,"",IF(ABS(I15)&gt;0.5*MAX(1,INDEX(E15:H15,COUNT(E15:H15)-1)),"SIN CONFIRMAR: revisar en 24 h","ok"))</f>
        <v/>
      </c>
    </row>
    <row r="16" customFormat="false" ht="15" hidden="false" customHeight="false" outlineLevel="0" collapsed="false">
      <c r="A16" s="0" t="s">
        <v>53</v>
      </c>
      <c r="B16" s="0" t="s">
        <v>11</v>
      </c>
      <c r="C16" s="0" t="s">
        <v>16</v>
      </c>
      <c r="D16" s="0" t="s">
        <v>13</v>
      </c>
      <c r="E16" s="4" t="n">
        <v>0</v>
      </c>
      <c r="F16" s="5"/>
      <c r="G16" s="5"/>
      <c r="H16" s="5"/>
      <c r="I16" s="0" t="str">
        <f aca="false">IF(COUNT(E16:H16)&lt;2,"",INDEX(E16:H16,COUNT(E16:H16))-INDEX(E16:H16,COUNT(E16:H16)-1))</f>
        <v/>
      </c>
      <c r="J16" s="0" t="str">
        <f aca="false">IF(COUNT(E16:H16)&lt;2,"",IF(ABS(I16)&gt;0.5*MAX(1,INDEX(E16:H16,COUNT(E16:H16)-1)),"SIN CONFIRMAR: revisar en 24 h","ok"))</f>
        <v/>
      </c>
    </row>
    <row r="17" customFormat="false" ht="15" hidden="false" customHeight="false" outlineLevel="0" collapsed="false">
      <c r="A17" s="0" t="s">
        <v>52</v>
      </c>
      <c r="B17" s="0" t="s">
        <v>11</v>
      </c>
      <c r="C17" s="0" t="s">
        <v>16</v>
      </c>
      <c r="D17" s="0" t="s">
        <v>13</v>
      </c>
      <c r="E17" s="4" t="n">
        <v>0</v>
      </c>
      <c r="F17" s="5"/>
      <c r="G17" s="5"/>
      <c r="H17" s="5"/>
      <c r="I17" s="0" t="str">
        <f aca="false">IF(COUNT(E17:H17)&lt;2,"",INDEX(E17:H17,COUNT(E17:H17))-INDEX(E17:H17,COUNT(E17:H17)-1))</f>
        <v/>
      </c>
      <c r="J17" s="0" t="str">
        <f aca="false">IF(COUNT(E17:H17)&lt;2,"",IF(ABS(I17)&gt;0.5*MAX(1,INDEX(E17:H17,COUNT(E17:H17)-1)),"SIN CONFIRMAR: revisar en 24 h","ok"))</f>
        <v/>
      </c>
    </row>
    <row r="18" customFormat="false" ht="15" hidden="false" customHeight="false" outlineLevel="0" collapsed="false">
      <c r="A18" s="0" t="s">
        <v>20</v>
      </c>
      <c r="B18" s="0" t="s">
        <v>11</v>
      </c>
      <c r="C18" s="0" t="s">
        <v>150</v>
      </c>
      <c r="D18" s="0" t="s">
        <v>13</v>
      </c>
      <c r="E18" s="4" t="n">
        <v>16</v>
      </c>
      <c r="F18" s="5"/>
      <c r="G18" s="5"/>
      <c r="H18" s="5"/>
      <c r="I18" s="0" t="str">
        <f aca="false">IF(COUNT(E18:H18)&lt;2,"",INDEX(E18:H18,COUNT(E18:H18))-INDEX(E18:H18,COUNT(E18:H18)-1))</f>
        <v/>
      </c>
      <c r="J18" s="0" t="str">
        <f aca="false">IF(COUNT(E18:H18)&lt;2,"",IF(ABS(I18)&gt;0.5*MAX(1,INDEX(E18:H18,COUNT(E18:H18)-1)),"SIN CONFIRMAR: revisar en 24 h","ok"))</f>
        <v/>
      </c>
    </row>
    <row r="19" customFormat="false" ht="15" hidden="false" customHeight="false" outlineLevel="0" collapsed="false">
      <c r="A19" s="0" t="s">
        <v>23</v>
      </c>
      <c r="B19" s="0" t="s">
        <v>11</v>
      </c>
      <c r="C19" s="0" t="s">
        <v>150</v>
      </c>
      <c r="D19" s="0" t="s">
        <v>13</v>
      </c>
      <c r="E19" s="4" t="n">
        <v>27</v>
      </c>
      <c r="F19" s="5"/>
      <c r="G19" s="5"/>
      <c r="H19" s="5"/>
      <c r="I19" s="0" t="str">
        <f aca="false">IF(COUNT(E19:H19)&lt;2,"",INDEX(E19:H19,COUNT(E19:H19))-INDEX(E19:H19,COUNT(E19:H19)-1))</f>
        <v/>
      </c>
      <c r="J19" s="0" t="str">
        <f aca="false">IF(COUNT(E19:H19)&lt;2,"",IF(ABS(I19)&gt;0.5*MAX(1,INDEX(E19:H19,COUNT(E19:H19)-1)),"SIN CONFIRMAR: revisar en 24 h","ok"))</f>
        <v/>
      </c>
    </row>
    <row r="20" customFormat="false" ht="15" hidden="false" customHeight="false" outlineLevel="0" collapsed="false">
      <c r="A20" s="0" t="s">
        <v>134</v>
      </c>
      <c r="B20" s="0" t="s">
        <v>11</v>
      </c>
      <c r="C20" s="0" t="s">
        <v>139</v>
      </c>
      <c r="D20" s="0" t="s">
        <v>13</v>
      </c>
      <c r="E20" s="4" t="n">
        <v>1</v>
      </c>
      <c r="F20" s="5"/>
      <c r="G20" s="5"/>
      <c r="H20" s="5"/>
      <c r="I20" s="0" t="str">
        <f aca="false">IF(COUNT(E20:H20)&lt;2,"",INDEX(E20:H20,COUNT(E20:H20))-INDEX(E20:H20,COUNT(E20:H20)-1))</f>
        <v/>
      </c>
      <c r="J20" s="0" t="str">
        <f aca="false">IF(COUNT(E20:H20)&lt;2,"",IF(ABS(I20)&gt;0.5*MAX(1,INDEX(E20:H20,COUNT(E20:H20)-1)),"SIN CONFIRMAR: revisar en 24 h","ok"))</f>
        <v/>
      </c>
    </row>
    <row r="21" customFormat="false" ht="15" hidden="false" customHeight="false" outlineLevel="0" collapsed="false">
      <c r="A21" s="0" t="s">
        <v>15</v>
      </c>
      <c r="B21" s="0" t="s">
        <v>71</v>
      </c>
      <c r="C21" s="0" t="s">
        <v>11</v>
      </c>
      <c r="D21" s="0" t="s">
        <v>13</v>
      </c>
      <c r="E21" s="4" t="n">
        <v>8</v>
      </c>
      <c r="F21" s="5"/>
      <c r="G21" s="5"/>
      <c r="H21" s="5"/>
      <c r="I21" s="0" t="str">
        <f aca="false">IF(COUNT(E21:H21)&lt;2,"",INDEX(E21:H21,COUNT(E21:H21))-INDEX(E21:H21,COUNT(E21:H21)-1))</f>
        <v/>
      </c>
      <c r="J21" s="0" t="str">
        <f aca="false">IF(COUNT(E21:H21)&lt;2,"",IF(ABS(I21)&gt;0.5*MAX(1,INDEX(E21:H21,COUNT(E21:H21)-1)),"SIN CONFIRMAR: revisar en 24 h","ok"))</f>
        <v/>
      </c>
    </row>
    <row r="22" customFormat="false" ht="15" hidden="false" customHeight="false" outlineLevel="0" collapsed="false">
      <c r="A22" s="0" t="s">
        <v>31</v>
      </c>
      <c r="B22" s="0" t="s">
        <v>11</v>
      </c>
      <c r="C22" s="0" t="s">
        <v>163</v>
      </c>
      <c r="D22" s="0" t="s">
        <v>13</v>
      </c>
      <c r="E22" s="4" t="n">
        <v>6</v>
      </c>
      <c r="F22" s="5"/>
      <c r="G22" s="5"/>
      <c r="H22" s="5"/>
      <c r="I22" s="0" t="str">
        <f aca="false">IF(COUNT(E22:H22)&lt;2,"",INDEX(E22:H22,COUNT(E22:H22))-INDEX(E22:H22,COUNT(E22:H22)-1))</f>
        <v/>
      </c>
      <c r="J22" s="0" t="str">
        <f aca="false">IF(COUNT(E22:H22)&lt;2,"",IF(ABS(I22)&gt;0.5*MAX(1,INDEX(E22:H22,COUNT(E22:H22)-1)),"SIN CONFIRMAR: revisar en 24 h","ok"))</f>
        <v/>
      </c>
    </row>
  </sheetData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3"/>
    <col collapsed="false" customWidth="true" hidden="false" outlineLevel="0" max="3" min="3" style="0" width="10"/>
    <col collapsed="false" customWidth="true" hidden="false" outlineLevel="0" max="4" min="4" style="0" width="13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7" min="7" style="0" width="15"/>
    <col collapsed="false" customWidth="true" hidden="false" outlineLevel="0" max="8" min="8" style="0" width="11"/>
    <col collapsed="false" customWidth="true" hidden="false" outlineLevel="0" max="9" min="9" style="0" width="9"/>
    <col collapsed="false" customWidth="true" hidden="false" outlineLevel="0" max="10" min="10" style="0" width="14"/>
    <col collapsed="false" customWidth="true" hidden="false" outlineLevel="0" max="11" min="11" style="0" width="90"/>
  </cols>
  <sheetData>
    <row r="1" customFormat="false" ht="49.5" hidden="false" customHeight="true" outlineLevel="0" collapsed="false">
      <c r="A1" s="3" t="s">
        <v>164</v>
      </c>
      <c r="B1" s="3"/>
      <c r="C1" s="3"/>
      <c r="D1" s="3"/>
      <c r="E1" s="3"/>
      <c r="F1" s="3"/>
      <c r="G1" s="3"/>
      <c r="H1" s="3"/>
      <c r="I1" s="3"/>
      <c r="J1" s="3"/>
      <c r="K1" s="3"/>
    </row>
    <row r="2" customFormat="false" ht="15" hidden="false" customHeight="false" outlineLevel="0" collapsed="false">
      <c r="A2" s="1" t="s">
        <v>1</v>
      </c>
      <c r="B2" s="1" t="s">
        <v>165</v>
      </c>
      <c r="C2" s="1" t="s">
        <v>166</v>
      </c>
      <c r="D2" s="1" t="s">
        <v>167</v>
      </c>
      <c r="E2" s="1" t="s">
        <v>168</v>
      </c>
      <c r="F2" s="1" t="s">
        <v>169</v>
      </c>
      <c r="G2" s="1" t="s">
        <v>170</v>
      </c>
      <c r="H2" s="1" t="s">
        <v>171</v>
      </c>
      <c r="I2" s="1" t="s">
        <v>172</v>
      </c>
      <c r="J2" s="1" t="s">
        <v>173</v>
      </c>
      <c r="K2" s="1" t="s">
        <v>174</v>
      </c>
    </row>
    <row r="3" customFormat="false" ht="15" hidden="false" customHeight="false" outlineLevel="0" collapsed="false">
      <c r="A3" s="2" t="s">
        <v>18</v>
      </c>
      <c r="B3" s="4" t="n">
        <v>17</v>
      </c>
      <c r="C3" s="4" t="n">
        <v>18</v>
      </c>
      <c r="D3" s="4" t="n">
        <v>18</v>
      </c>
      <c r="E3" s="4" t="n">
        <v>11</v>
      </c>
      <c r="F3" s="4" t="n">
        <v>5</v>
      </c>
      <c r="G3" s="4" t="n">
        <v>5</v>
      </c>
      <c r="H3" s="4" t="n">
        <v>4</v>
      </c>
      <c r="I3" s="6" t="n">
        <f aca="false">SUM(B3:H3)</f>
        <v>78</v>
      </c>
      <c r="J3" s="2" t="s">
        <v>175</v>
      </c>
      <c r="K3" s="2" t="s">
        <v>176</v>
      </c>
    </row>
    <row r="4" customFormat="false" ht="15" hidden="false" customHeight="false" outlineLevel="0" collapsed="false">
      <c r="A4" s="2" t="s">
        <v>20</v>
      </c>
      <c r="B4" s="4" t="n">
        <v>13</v>
      </c>
      <c r="C4" s="4" t="n">
        <v>13</v>
      </c>
      <c r="D4" s="4" t="n">
        <v>13</v>
      </c>
      <c r="E4" s="4" t="n">
        <v>11</v>
      </c>
      <c r="F4" s="4" t="n">
        <v>6</v>
      </c>
      <c r="G4" s="4" t="n">
        <v>6</v>
      </c>
      <c r="H4" s="4" t="n">
        <v>5</v>
      </c>
      <c r="I4" s="6" t="n">
        <f aca="false">SUM(B4:H4)</f>
        <v>67</v>
      </c>
      <c r="J4" s="2" t="s">
        <v>177</v>
      </c>
      <c r="K4" s="2" t="s">
        <v>178</v>
      </c>
    </row>
    <row r="5" customFormat="false" ht="15" hidden="false" customHeight="false" outlineLevel="0" collapsed="false">
      <c r="A5" s="2" t="s">
        <v>23</v>
      </c>
      <c r="B5" s="4" t="n">
        <v>19</v>
      </c>
      <c r="C5" s="4" t="n">
        <v>18</v>
      </c>
      <c r="D5" s="4" t="n">
        <v>12</v>
      </c>
      <c r="E5" s="4" t="n">
        <v>12</v>
      </c>
      <c r="F5" s="4" t="n">
        <v>3</v>
      </c>
      <c r="G5" s="4" t="n">
        <v>4</v>
      </c>
      <c r="H5" s="4" t="n">
        <v>5</v>
      </c>
      <c r="I5" s="6" t="n">
        <f aca="false">SUM(B5:H5)</f>
        <v>73</v>
      </c>
      <c r="J5" s="2" t="s">
        <v>179</v>
      </c>
      <c r="K5" s="2" t="s">
        <v>180</v>
      </c>
    </row>
    <row r="6" customFormat="false" ht="15" hidden="false" customHeight="false" outlineLevel="0" collapsed="false">
      <c r="A6" s="2" t="s">
        <v>15</v>
      </c>
      <c r="B6" s="4" t="n">
        <v>9</v>
      </c>
      <c r="C6" s="4" t="n">
        <v>11</v>
      </c>
      <c r="D6" s="4" t="n">
        <v>12</v>
      </c>
      <c r="E6" s="4" t="n">
        <v>11</v>
      </c>
      <c r="F6" s="4" t="n">
        <v>8</v>
      </c>
      <c r="G6" s="4" t="n">
        <v>10</v>
      </c>
      <c r="H6" s="4" t="n">
        <v>4</v>
      </c>
      <c r="I6" s="6" t="n">
        <f aca="false">SUM(B6:H6)</f>
        <v>65</v>
      </c>
      <c r="J6" s="2" t="s">
        <v>181</v>
      </c>
      <c r="K6" s="2" t="s">
        <v>182</v>
      </c>
    </row>
    <row r="7" customFormat="false" ht="15" hidden="false" customHeight="false" outlineLevel="0" collapsed="false">
      <c r="A7" s="2" t="s">
        <v>31</v>
      </c>
      <c r="B7" s="4" t="n">
        <v>11</v>
      </c>
      <c r="C7" s="4" t="n">
        <v>14</v>
      </c>
      <c r="D7" s="4" t="n">
        <v>12</v>
      </c>
      <c r="E7" s="4" t="n">
        <v>10</v>
      </c>
      <c r="F7" s="4" t="n">
        <v>7</v>
      </c>
      <c r="G7" s="4" t="n">
        <v>8</v>
      </c>
      <c r="H7" s="4" t="n">
        <v>2</v>
      </c>
      <c r="I7" s="6" t="n">
        <f aca="false">SUM(B7:H7)</f>
        <v>64</v>
      </c>
      <c r="J7" s="2" t="s">
        <v>181</v>
      </c>
      <c r="K7" s="2" t="s">
        <v>183</v>
      </c>
    </row>
    <row r="8" customFormat="false" ht="15" hidden="false" customHeight="false" outlineLevel="0" collapsed="false">
      <c r="A8" s="2" t="s">
        <v>21</v>
      </c>
      <c r="B8" s="4" t="n">
        <v>7</v>
      </c>
      <c r="C8" s="4" t="n">
        <v>11</v>
      </c>
      <c r="D8" s="4" t="n">
        <v>10</v>
      </c>
      <c r="E8" s="4" t="n">
        <v>12</v>
      </c>
      <c r="F8" s="4" t="n">
        <v>9</v>
      </c>
      <c r="G8" s="4" t="n">
        <v>6</v>
      </c>
      <c r="H8" s="4" t="n">
        <v>3</v>
      </c>
      <c r="I8" s="6" t="n">
        <f aca="false">SUM(B8:H8)</f>
        <v>58</v>
      </c>
      <c r="J8" s="2" t="s">
        <v>184</v>
      </c>
      <c r="K8" s="2" t="s">
        <v>185</v>
      </c>
    </row>
    <row r="9" customFormat="false" ht="15" hidden="false" customHeight="false" outlineLevel="0" collapsed="false">
      <c r="A9" s="2" t="s">
        <v>32</v>
      </c>
      <c r="B9" s="4" t="n">
        <v>7</v>
      </c>
      <c r="C9" s="4" t="n">
        <v>11</v>
      </c>
      <c r="D9" s="4" t="n">
        <v>12</v>
      </c>
      <c r="E9" s="4" t="n">
        <v>9</v>
      </c>
      <c r="F9" s="4" t="n">
        <v>8</v>
      </c>
      <c r="G9" s="4" t="n">
        <v>8</v>
      </c>
      <c r="H9" s="4" t="n">
        <v>2</v>
      </c>
      <c r="I9" s="6" t="n">
        <f aca="false">SUM(B9:H9)</f>
        <v>57</v>
      </c>
      <c r="J9" s="2" t="s">
        <v>181</v>
      </c>
      <c r="K9" s="2" t="s">
        <v>186</v>
      </c>
    </row>
    <row r="10" customFormat="false" ht="15" hidden="false" customHeight="false" outlineLevel="0" collapsed="false">
      <c r="A10" s="2" t="s">
        <v>35</v>
      </c>
      <c r="B10" s="4" t="n">
        <v>10</v>
      </c>
      <c r="C10" s="4" t="n">
        <v>13</v>
      </c>
      <c r="D10" s="4" t="n">
        <v>12</v>
      </c>
      <c r="E10" s="4" t="n">
        <v>8</v>
      </c>
      <c r="F10" s="4" t="n">
        <v>7</v>
      </c>
      <c r="G10" s="4" t="n">
        <v>6</v>
      </c>
      <c r="H10" s="4" t="n">
        <v>3</v>
      </c>
      <c r="I10" s="6" t="n">
        <f aca="false">SUM(B10:H10)</f>
        <v>59</v>
      </c>
      <c r="J10" s="2" t="s">
        <v>181</v>
      </c>
      <c r="K10" s="2" t="s">
        <v>186</v>
      </c>
    </row>
    <row r="11" customFormat="false" ht="15" hidden="false" customHeight="false" outlineLevel="0" collapsed="false">
      <c r="A11" s="2" t="s">
        <v>36</v>
      </c>
      <c r="B11" s="4" t="n">
        <v>10</v>
      </c>
      <c r="C11" s="4" t="n">
        <v>13</v>
      </c>
      <c r="D11" s="4" t="n">
        <v>12</v>
      </c>
      <c r="E11" s="4" t="n">
        <v>8</v>
      </c>
      <c r="F11" s="4" t="n">
        <v>7</v>
      </c>
      <c r="G11" s="4" t="n">
        <v>6</v>
      </c>
      <c r="H11" s="4" t="n">
        <v>3</v>
      </c>
      <c r="I11" s="6" t="n">
        <f aca="false">SUM(B11:H11)</f>
        <v>59</v>
      </c>
      <c r="J11" s="2" t="s">
        <v>181</v>
      </c>
      <c r="K11" s="2" t="s">
        <v>186</v>
      </c>
    </row>
    <row r="12" customFormat="false" ht="15" hidden="false" customHeight="false" outlineLevel="0" collapsed="false">
      <c r="A12" s="2" t="s">
        <v>33</v>
      </c>
      <c r="B12" s="4" t="n">
        <v>11</v>
      </c>
      <c r="C12" s="4" t="n">
        <v>9</v>
      </c>
      <c r="D12" s="4" t="n">
        <v>12</v>
      </c>
      <c r="E12" s="4" t="n">
        <v>8</v>
      </c>
      <c r="F12" s="4" t="n">
        <v>7</v>
      </c>
      <c r="G12" s="4" t="n">
        <v>6</v>
      </c>
      <c r="H12" s="4" t="n">
        <v>2</v>
      </c>
      <c r="I12" s="6" t="n">
        <f aca="false">SUM(B12:H12)</f>
        <v>55</v>
      </c>
      <c r="J12" s="2" t="s">
        <v>181</v>
      </c>
      <c r="K12" s="2" t="s">
        <v>187</v>
      </c>
    </row>
    <row r="13" customFormat="false" ht="15" hidden="false" customHeight="false" outlineLevel="0" collapsed="false">
      <c r="A13" s="2" t="s">
        <v>37</v>
      </c>
      <c r="B13" s="4" t="n">
        <v>7</v>
      </c>
      <c r="C13" s="4" t="n">
        <v>11</v>
      </c>
      <c r="D13" s="4" t="n">
        <v>12</v>
      </c>
      <c r="E13" s="4" t="n">
        <v>8</v>
      </c>
      <c r="F13" s="4" t="n">
        <v>8</v>
      </c>
      <c r="G13" s="4" t="n">
        <v>7</v>
      </c>
      <c r="H13" s="4" t="n">
        <v>3</v>
      </c>
      <c r="I13" s="6" t="n">
        <f aca="false">SUM(B13:H13)</f>
        <v>56</v>
      </c>
      <c r="J13" s="2" t="s">
        <v>181</v>
      </c>
      <c r="K13" s="2" t="s">
        <v>186</v>
      </c>
    </row>
    <row r="14" customFormat="false" ht="15" hidden="false" customHeight="false" outlineLevel="0" collapsed="false">
      <c r="A14" s="2" t="s">
        <v>134</v>
      </c>
      <c r="B14" s="4" t="n">
        <v>18</v>
      </c>
      <c r="C14" s="4" t="n">
        <v>17</v>
      </c>
      <c r="D14" s="4" t="n">
        <v>8</v>
      </c>
      <c r="E14" s="4" t="n">
        <v>7</v>
      </c>
      <c r="F14" s="4" t="n">
        <v>3</v>
      </c>
      <c r="G14" s="4" t="n">
        <v>5</v>
      </c>
      <c r="H14" s="4" t="n">
        <v>2</v>
      </c>
      <c r="I14" s="6" t="n">
        <f aca="false">SUM(B14:H14)</f>
        <v>60</v>
      </c>
      <c r="J14" s="2" t="s">
        <v>181</v>
      </c>
      <c r="K14" s="2" t="s">
        <v>188</v>
      </c>
    </row>
    <row r="16" customFormat="false" ht="15" hidden="false" customHeight="false" outlineLevel="0" collapsed="false">
      <c r="A16" s="0" t="s">
        <v>189</v>
      </c>
    </row>
    <row r="17" customFormat="false" ht="15" hidden="false" customHeight="false" outlineLevel="0" collapsed="false">
      <c r="A17" s="0" t="s">
        <v>190</v>
      </c>
    </row>
  </sheetData>
  <mergeCells count="1">
    <mergeCell ref="A1:K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2026-10-28T14:05:25Z</dcterms:created>
  <dc:creator>openpyxl</dc:creator>
  <dc:description/>
  <dc:language>en-US</dc:language>
  <cp:lastModifiedBy/>
  <dcterms:modified xsi:type="dcterms:W3CDTF">2026-10-28T14:05:25Z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