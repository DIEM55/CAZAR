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nificado" sheetId="1" state="visible" r:id="rId3"/>
    <sheet name="Top 3 y países" sheetId="2" state="visible" r:id="rId4"/>
  </sheets>
  <definedNames>
    <definedName function="false" hidden="true" localSheetId="0" name="_xlnm._FilterDatabase" vbProcedure="false">Unificado!$A$1:$S$67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<sst xmlns="http://schemas.openxmlformats.org/spreadsheetml/2006/main" count="700" uniqueCount="399">
  <si>
    <t xml:space="preserve">Fuente</t>
  </si>
  <si>
    <t xml:space="preserve">Fecha</t>
  </si>
  <si>
    <t xml:space="preserve">Producto / Página</t>
  </si>
  <si>
    <t xml:space="preserve">Nicho</t>
  </si>
  <si>
    <t xml:space="preserve">Tipo de producto</t>
  </si>
  <si>
    <t xml:space="preserve">Score</t>
  </si>
  <si>
    <t xml:space="preserve">Confianza</t>
  </si>
  <si>
    <t xml:space="preserve">Veredicto</t>
  </si>
  <si>
    <t xml:space="preserve">Antigüedad (días)</t>
  </si>
  <si>
    <t xml:space="preserve">Anuncios activos</t>
  </si>
  <si>
    <t xml:space="preserve">Países / idiomas</t>
  </si>
  <si>
    <t xml:space="preserve">Nº competidores clonando</t>
  </si>
  <si>
    <t xml:space="preserve">Precio detectado</t>
  </si>
  <si>
    <t xml:space="preserve">Riesgo compliance</t>
  </si>
  <si>
    <t xml:space="preserve">País con mejor potencial</t>
  </si>
  <si>
    <t xml:space="preserve">Notas</t>
  </si>
  <si>
    <t xml:space="preserve">Link</t>
  </si>
  <si>
    <t xml:space="preserve">Cumple filtro duro (≥20 d y &gt;15 anuncios)</t>
  </si>
  <si>
    <t xml:space="preserve">Ranking por score</t>
  </si>
  <si>
    <t xml:space="preserve">Tracker 06/10 (tu Excel)</t>
  </si>
  <si>
    <t xml:space="preserve">2026-10-06</t>
  </si>
  <si>
    <t xml:space="preserve">Mapas visuales técnicos (mecánica industrial, automatización, ing. civil) — Mapas Visuales PRO</t>
  </si>
  <si>
    <t xml:space="preserve">Técnicos e ingenieros</t>
  </si>
  <si>
    <t xml:space="preserve">Megapack de mapas PDF</t>
  </si>
  <si>
    <t xml:space="preserve">Baja</t>
  </si>
  <si>
    <t xml:space="preserve">ES, IT · Perú (PEN), ya exporta a Italia</t>
  </si>
  <si>
    <t xml:space="preserve">No visible</t>
  </si>
  <si>
    <t xml:space="preserve">Sin riesgo</t>
  </si>
  <si>
    <t xml:space="preserve">Brasil en PT (enorme base de técnicos), México y Colombia en ES</t>
  </si>
  <si>
    <t xml:space="preserve">C · casi (6-19 días). Funnel/checkout: No verificada (facebook.com y landings no accesibles)</t>
  </si>
  <si>
    <t xml:space="preserve">https://www.facebook.com/ads/library/?id=1972976284106410</t>
  </si>
  <si>
    <t xml:space="preserve">Workbooks imprimibles: estudio bíblico + regulación del sistema nervioso — Printable WITH Lisa</t>
  </si>
  <si>
    <t xml:space="preserve">Fe + bienestar emocional</t>
  </si>
  <si>
    <t xml:space="preserve">Workbooks PDF + bundle de toda la tienda</t>
  </si>
  <si>
    <t xml:space="preserve">Media</t>
  </si>
  <si>
    <t xml:space="preserve">EN · EE. UU. (USD)</t>
  </si>
  <si>
    <t xml:space="preserve">"90% off today" (precio ancla tachado)</t>
  </si>
  <si>
    <t xml:space="preserve">Riesgo medio ("the cure for anxiety", trauma)</t>
  </si>
  <si>
    <t xml:space="preserve">EE. UU.; en ES funciona para México, Colombia y comunidad hispana en EE. UU.</t>
  </si>
  <si>
    <t xml:space="preserve">A · cumple filtro duro. Funnel/checkout: No verificada (facebook.com y landings no accesibles)</t>
  </si>
  <si>
    <t xml:space="preserve">https://www.facebook.com/ads/library/?id=1593599118912122</t>
  </si>
  <si>
    <t xml:space="preserve">100 Fichas de Fallas de Aire Acondicionado (HVAC) — David Alejandro (ES) + Julien Moreau (FR/IT)</t>
  </si>
  <si>
    <t xml:space="preserve">Técnicos de aire acondicionado</t>
  </si>
  <si>
    <t xml:space="preserve">Pack de fichas PDF de diagnóstico</t>
  </si>
  <si>
    <t xml:space="preserve">ES, FR, IT · Operador LATAM (cobra en USD) con persona por idioma</t>
  </si>
  <si>
    <t xml:space="preserve">No visible en el anuncio</t>
  </si>
  <si>
    <t xml:space="preserve">Brasil (PT), Argentina, Chile, Paraguay, Uruguay y México norte: arranca el verano y la temporada de A/A</t>
  </si>
  <si>
    <t xml:space="preserve">https://www.facebook.com/ads/library/?id=1099224979238232</t>
  </si>
  <si>
    <t xml:space="preserve">Mapas visuales de farmacología y estudio (Digi Aprende) — Digi Aprende</t>
  </si>
  <si>
    <t xml:space="preserve">Estudiantes de salud</t>
  </si>
  <si>
    <t xml:space="preserve">Pack de mapas visuales PDF</t>
  </si>
  <si>
    <t xml:space="preserve">ES · Perú (PEN)</t>
  </si>
  <si>
    <t xml:space="preserve">No visible ("+10.000 descargas")</t>
  </si>
  <si>
    <t xml:space="preserve">Perú, México, Colombia, Ecuador; traducible a PT-BR</t>
  </si>
  <si>
    <t xml:space="preserve">https://www.facebook.com/ads/library/?id=1797588771686798</t>
  </si>
  <si>
    <t xml:space="preserve">Moldes PDF de ropa infantil (Tudo para Costura) — Tudo para Costura</t>
  </si>
  <si>
    <t xml:space="preserve">Costura infantil</t>
  </si>
  <si>
    <t xml:space="preserve">Moldes PDF graduados RN-14 años</t>
  </si>
  <si>
    <t xml:space="preserve">PT · Brasil (BRL)</t>
  </si>
  <si>
    <t xml:space="preserve">No visible ("Acesso Imediato")</t>
  </si>
  <si>
    <t xml:space="preserve">Brasil ya funciona; en ES el formato "megapack" está saturado, el molde premium individual no</t>
  </si>
  <si>
    <t xml:space="preserve">https://www.facebook.com/ads/library/?id=1435024878102955</t>
  </si>
  <si>
    <t xml:space="preserve">"50 [X] em Feltro" (colecciones de moldes de fieltro) — Universo do Feltro</t>
  </si>
  <si>
    <t xml:space="preserve">Manualidades en fieltro</t>
  </si>
  <si>
    <t xml:space="preserve">Packs de 50 moldes por temporada</t>
  </si>
  <si>
    <t xml:space="preserve">España y LATAM en ES ahora mismo con "50 adornos navideños en fieltro" (octubre-diciembre)</t>
  </si>
  <si>
    <t xml:space="preserve">https://www.facebook.com/ads/library/?id=4000385506938006</t>
  </si>
  <si>
    <t xml:space="preserve">Guía de estudio NCLEX (advertorial "Read This If…") — Maya Bennett (+ Alexa Paige, mismo copy)</t>
  </si>
  <si>
    <t xml:space="preserve">Enfermería: examen de licencia NCLEX</t>
  </si>
  <si>
    <t xml:space="preserve">Guía PDF / método de estudio</t>
  </si>
  <si>
    <t xml:space="preserve">EN · Canadá / EE. UU.</t>
  </si>
  <si>
    <t xml:space="preserve">No visible (competidor ReMar arranca en US$3,99)</t>
  </si>
  <si>
    <t xml:space="preserve">EE. UU. y Canadá (alto poder adquisitivo); Filipinas, India, Nigeria y LATAM como mercado de enfermeros que migran</t>
  </si>
  <si>
    <t xml:space="preserve">https://www.facebook.com/ads/library/?id=1864727954938373</t>
  </si>
  <si>
    <t xml:space="preserve">Dibujos para que los chicos creen sin pantallas — Jennifer Collins</t>
  </si>
  <si>
    <t xml:space="preserve">Crianza / tiempo de pantalla</t>
  </si>
  <si>
    <t xml:space="preserve">Pack imprimible</t>
  </si>
  <si>
    <t xml:space="preserve">EE. UU.; en ES para México y España</t>
  </si>
  <si>
    <t xml:space="preserve">https://www.facebook.com/ads/library/?id=2122663111659451</t>
  </si>
  <si>
    <t xml:space="preserve">Atlas de Fotobiomodulación (láser y LED), +900 págs — Lumix Prime</t>
  </si>
  <si>
    <t xml:space="preserve">Profesionales de salud que usan láser</t>
  </si>
  <si>
    <t xml:space="preserve">Atlas PDF de protocolos</t>
  </si>
  <si>
    <t xml:space="preserve">PT, ES · Brasil (BRL), ya entró a ES</t>
  </si>
  <si>
    <t xml:space="preserve">Riesgo bajo (no prometer curas)</t>
  </si>
  <si>
    <t xml:space="preserve">México, Colombia, Chile y España (el operador recién empezó en ES el 1-oct)</t>
  </si>
  <si>
    <t xml:space="preserve">B · volumen ok, antigüedad probable. Funnel/checkout: No verificada (facebook.com y landings no accesibles)</t>
  </si>
  <si>
    <t xml:space="preserve">https://www.facebook.com/ads/library/?id=1087061917452784</t>
  </si>
  <si>
    <t xml:space="preserve">Patrones de crochet (Sleeping Cat Bag, bundles de 50 y 200) — Soreno</t>
  </si>
  <si>
    <t xml:space="preserve">Crochet</t>
  </si>
  <si>
    <t xml:space="preserve">Patrones PDF</t>
  </si>
  <si>
    <t xml:space="preserve">EE. UU., Reino Unido; en ES, México y Argentina</t>
  </si>
  <si>
    <t xml:space="preserve">https://www.facebook.com/ads/library/?id=1430654619217283</t>
  </si>
  <si>
    <t xml:space="preserve">100 Attività Sensoriali per il tuo Bambino (0–5 anni) — Crescere Giocando</t>
  </si>
  <si>
    <t xml:space="preserve">Crianza 0-5 años / Montessori</t>
  </si>
  <si>
    <t xml:space="preserve">Ebook de actividades</t>
  </si>
  <si>
    <t xml:space="preserve">IT · Italia (EUR)</t>
  </si>
  <si>
    <t xml:space="preserve">España, México, Chile, Colombia y Brasil (PT): poca competencia digital en ES; en el sur llegan las vacaciones de verano</t>
  </si>
  <si>
    <t xml:space="preserve">https://www.facebook.com/ads/library/?id=1719132472559701</t>
  </si>
  <si>
    <t xml:space="preserve">Inglés en mapas mentales — Inglés en Mapas</t>
  </si>
  <si>
    <t xml:space="preserve">Idiomas</t>
  </si>
  <si>
    <t xml:space="preserve">Pack de mapas PDF</t>
  </si>
  <si>
    <t xml:space="preserve">ES · LATAM (USD)</t>
  </si>
  <si>
    <t xml:space="preserve">No visible ("+1.491 descargas")</t>
  </si>
  <si>
    <t xml:space="preserve">México, Colombia, Perú</t>
  </si>
  <si>
    <t xml:space="preserve">https://www.facebook.com/ads/library/?id=1102560409327912</t>
  </si>
  <si>
    <t xml:space="preserve">Novela dark romance personalizada (vos sos la protagonista) — Soft Sins</t>
  </si>
  <si>
    <t xml:space="preserve">Romance / BookTok</t>
  </si>
  <si>
    <t xml:space="preserve">Libro digital personalizado (generado a pedido)</t>
  </si>
  <si>
    <t xml:space="preserve">DE · Alemania (EUR)</t>
  </si>
  <si>
    <t xml:space="preserve">Revisar (contenido adulto: mantener no explícito)</t>
  </si>
  <si>
    <t xml:space="preserve">España, México y Argentina: no vimos ningún anunciante en ES</t>
  </si>
  <si>
    <t xml:space="preserve">https://www.facebook.com/ads/library/?id=2035041457172040</t>
  </si>
  <si>
    <t xml:space="preserve">Domina la Química desde Cero — Domina la química desde cero</t>
  </si>
  <si>
    <t xml:space="preserve">Estudiantes</t>
  </si>
  <si>
    <t xml:space="preserve">Mapas / guía PDF</t>
  </si>
  <si>
    <t xml:space="preserve">ES · BRL, en ES</t>
  </si>
  <si>
    <t xml:space="preserve">https://www.facebook.com/ads/library/?id=2298569024262947</t>
  </si>
  <si>
    <t xml:space="preserve">Moldes de fieltro para emprender (pesebres, Navidad) — Maestra del Fieltro (+ Taller Lau, Lyzandra)</t>
  </si>
  <si>
    <t xml:space="preserve">Manualidades</t>
  </si>
  <si>
    <t xml:space="preserve">Moldes PDF</t>
  </si>
  <si>
    <t xml:space="preserve">ES · Colombia (COP)</t>
  </si>
  <si>
    <t xml:space="preserve">Competidora Lyzandra: US$9,99</t>
  </si>
  <si>
    <t xml:space="preserve">Colombia, México, Perú</t>
  </si>
  <si>
    <t xml:space="preserve">D · exótico, poco volumen. Funnel/checkout: No verificada (facebook.com y landings no accesibles)</t>
  </si>
  <si>
    <t xml:space="preserve">https://www.facebook.com/ads/library/?id=802091959655352</t>
  </si>
  <si>
    <t xml:space="preserve">Catálogo de ebooks esotéricos (Hermetismo, Kejawen, cuántica) — Mekanika Kuantum + Kebangkitan Nusantara + Ma'rifat</t>
  </si>
  <si>
    <t xml:space="preserve">Espiritualidad y manifestación</t>
  </si>
  <si>
    <t xml:space="preserve">Ebooks temáticos sueltos</t>
  </si>
  <si>
    <t xml:space="preserve">ID · Indonesia (IDR), un solo operador con 3 páginas</t>
  </si>
  <si>
    <t xml:space="preserve">Riesgo medio (manipulación psicológica, promesas de riqueza)</t>
  </si>
  <si>
    <t xml:space="preserve">Modelo traducible a ES: Argentina, México y Colombia (Kybalion, leyes herméticas, física cuántica)</t>
  </si>
  <si>
    <t xml:space="preserve">https://www.facebook.com/ads/library/?id=1084199480647428</t>
  </si>
  <si>
    <t xml:space="preserve">Tarot desde cero / Astrología / 200 gráficos de radiestesia — Alma, cuerpo y mente</t>
  </si>
  <si>
    <t xml:space="preserve">Esoterismo</t>
  </si>
  <si>
    <t xml:space="preserve">Cursos y packs low ticket</t>
  </si>
  <si>
    <t xml:space="preserve">ES · Argentina</t>
  </si>
  <si>
    <t xml:space="preserve">$3.900 / $5.000 / $7.999 ARS</t>
  </si>
  <si>
    <t xml:space="preserve">Riesgo bajo</t>
  </si>
  <si>
    <t xml:space="preserve">Argentina, Uruguay, México</t>
  </si>
  <si>
    <t xml:space="preserve">https://www.facebook.com/ads/library/?id=3070748743257327</t>
  </si>
  <si>
    <t xml:space="preserve">"La biblia del oficio inteligente" — Labibliadeloficiointeligente</t>
  </si>
  <si>
    <t xml:space="preserve">Oficios</t>
  </si>
  <si>
    <t xml:space="preserve">Ebook (sin detalle en el título)</t>
  </si>
  <si>
    <t xml:space="preserve">LATAM</t>
  </si>
  <si>
    <t xml:space="preserve">https://www.facebook.com/ads/library/?id=1604983160618285</t>
  </si>
  <si>
    <t xml:space="preserve">1500 Moldes de Costura (megapack) — 1500 Moldes de Costura</t>
  </si>
  <si>
    <t xml:space="preserve">Costura</t>
  </si>
  <si>
    <t xml:space="preserve">Megapack PDF</t>
  </si>
  <si>
    <t xml:space="preserve">Competidor directo: "+7.500 moldes US$15"</t>
  </si>
  <si>
    <t xml:space="preserve">Mercado ES ya saturado</t>
  </si>
  <si>
    <t xml:space="preserve">https://www.facebook.com/ads/library/?id=1722364679062549</t>
  </si>
  <si>
    <t xml:space="preserve">EducaTech "Descarga Inmediata" (+1280 Abogados Innovadores) — EducaTech</t>
  </si>
  <si>
    <t xml:space="preserve">Profesionales / abogados</t>
  </si>
  <si>
    <t xml:space="preserve">Packs descargables</t>
  </si>
  <si>
    <t xml:space="preserve">https://www.facebook.com/ads/library/?id=1661298955663074</t>
  </si>
  <si>
    <t xml:space="preserve">Romance personalizado "What if the heroine had your name?" — Ember Books</t>
  </si>
  <si>
    <t xml:space="preserve">Romance / romantasy</t>
  </si>
  <si>
    <t xml:space="preserve">Libro personalizado</t>
  </si>
  <si>
    <t xml:space="preserve">Revisar (contenido adulto)</t>
  </si>
  <si>
    <t xml:space="preserve">Valida el mismo modelo que Soft Sins en otro idioma</t>
  </si>
  <si>
    <t xml:space="preserve">https://www.facebook.com/ads/library/?id=4662940993984124</t>
  </si>
  <si>
    <t xml:space="preserve">Planes de comidas para adelgazar (mujeres 40+ y menopausia) — Źródło Zdrowych Kalorii</t>
  </si>
  <si>
    <t xml:space="preserve">Nutrición femenina</t>
  </si>
  <si>
    <t xml:space="preserve">Jadłospis (menú) PDF + recetarios</t>
  </si>
  <si>
    <t xml:space="preserve">PL · Polonia (PLN)</t>
  </si>
  <si>
    <t xml:space="preserve">Cupón "-20% START" / "-25%"</t>
  </si>
  <si>
    <t xml:space="preserve">Riesgo medio (pérdida de peso)</t>
  </si>
  <si>
    <t xml:space="preserve">España y México (segmento menopausia en crecimiento)</t>
  </si>
  <si>
    <t xml:space="preserve">https://www.facebook.com/ads/library/?id=1928559158520867</t>
  </si>
  <si>
    <t xml:space="preserve">Atlas visual ACLS / PALS (soporte vital) — Katarzyna Lis</t>
  </si>
  <si>
    <t xml:space="preserve">Emergentología / enfermería</t>
  </si>
  <si>
    <t xml:space="preserve">Atlas PDF</t>
  </si>
  <si>
    <t xml:space="preserve">PL · Polonia (cobra en USD)</t>
  </si>
  <si>
    <t xml:space="preserve">Traducible a ES para enfermería LATAM</t>
  </si>
  <si>
    <t xml:space="preserve">https://www.facebook.com/ads/library/?id=1495713305653263</t>
  </si>
  <si>
    <t xml:space="preserve">120 juegos sin pantallas para chicos — Unplugged Brain Games</t>
  </si>
  <si>
    <t xml:space="preserve">Crianza</t>
  </si>
  <si>
    <t xml:space="preserve">EN · Operador BRL vendiendo en EN</t>
  </si>
  <si>
    <t xml:space="preserve">EE. UU.</t>
  </si>
  <si>
    <t xml:space="preserve">https://www.facebook.com/ads/library/?id=1847379233298463</t>
  </si>
  <si>
    <t xml:space="preserve">Super Pack de Agendas 2027 — Jirafa Creativa</t>
  </si>
  <si>
    <t xml:space="preserve">Papelería digital</t>
  </si>
  <si>
    <t xml:space="preserve">Plantillas imprimibles</t>
  </si>
  <si>
    <t xml:space="preserve">Estacional: octubre-enero en todo LATAM</t>
  </si>
  <si>
    <t xml:space="preserve">https://www.facebook.com/ads/library/?id=1122671533631333</t>
  </si>
  <si>
    <t xml:space="preserve">PAE Gen: tu Proceso de Atención de Enfermería en minutos — PAE Gen</t>
  </si>
  <si>
    <t xml:space="preserve">Estudiantes de enfermería</t>
  </si>
  <si>
    <t xml:space="preserve">Generador / plantilla</t>
  </si>
  <si>
    <t xml:space="preserve">México, Perú, Colombia</t>
  </si>
  <si>
    <t xml:space="preserve">https://www.facebook.com/ads/library/?id=1571717877491932</t>
  </si>
  <si>
    <t xml:space="preserve">Biblia Etíope (88 libros) + Enoc y Jubileos en español — Camina con Dios</t>
  </si>
  <si>
    <t xml:space="preserve">Fe / apócrifos</t>
  </si>
  <si>
    <t xml:space="preserve">Ebooks</t>
  </si>
  <si>
    <t xml:space="preserve">3x1 por $9.890</t>
  </si>
  <si>
    <t xml:space="preserve">Chile, Argentina, México</t>
  </si>
  <si>
    <t xml:space="preserve">https://www.facebook.com/ads/library/?id=1073329228654543</t>
  </si>
  <si>
    <t xml:space="preserve">Guía práctica de Vastu a ₹99 — Pixel Theory</t>
  </si>
  <si>
    <t xml:space="preserve">Vastu / feng shui indio</t>
  </si>
  <si>
    <t xml:space="preserve">Ebook</t>
  </si>
  <si>
    <t xml:space="preserve">EN/HI · India (INR)</t>
  </si>
  <si>
    <t xml:space="preserve">₹99</t>
  </si>
  <si>
    <t xml:space="preserve">India (precio muy bajo)</t>
  </si>
  <si>
    <t xml:space="preserve">https://www.facebook.com/ads/library/?id=1127931963533410</t>
  </si>
  <si>
    <t xml:space="preserve">128 recetas con productos de Biedronka (súper low cost) — Szama za grosze</t>
  </si>
  <si>
    <t xml:space="preserve">Cocina económica</t>
  </si>
  <si>
    <t xml:space="preserve">Recetario + plan semanal</t>
  </si>
  <si>
    <t xml:space="preserve">49,99 zł</t>
  </si>
  <si>
    <t xml:space="preserve">Modelable a ES con Mercadona/Lidl (España), Aldi/Bodega Aurrera (México)</t>
  </si>
  <si>
    <t xml:space="preserve">https://www.facebook.com/ads/library/?id=1681978020116027</t>
  </si>
  <si>
    <t xml:space="preserve">Ebooks PDF: Constelaciones familiares, uñas, visas — Coursewe</t>
  </si>
  <si>
    <t xml:space="preserve">Mixto</t>
  </si>
  <si>
    <t xml:space="preserve">Ebooks PDF</t>
  </si>
  <si>
    <t xml:space="preserve">TR · Turquía (TRY)</t>
  </si>
  <si>
    <t xml:space="preserve">289-849 TL</t>
  </si>
  <si>
    <t xml:space="preserve">Turquía</t>
  </si>
  <si>
    <t xml:space="preserve">https://www.facebook.com/ads/library/?id=1934685594167269</t>
  </si>
  <si>
    <t xml:space="preserve">Lista maestra 04/10 (md)</t>
  </si>
  <si>
    <t xml:space="preserve">2026-10-04</t>
  </si>
  <si>
    <t xml:space="preserve">Aprende y Emprende (moldes de cuero y bolsos, voseo)</t>
  </si>
  <si>
    <t xml:space="preserve">1-2</t>
  </si>
  <si>
    <t xml:space="preserve">Argentina; luego Perú/Colombia</t>
  </si>
  <si>
    <t xml:space="preserve">Anuncios 7→33</t>
  </si>
  <si>
    <t xml:space="preserve">OctoMaps (idiomas con mapas mentales)</t>
  </si>
  <si>
    <t xml:space="preserve">2</t>
  </si>
  <si>
    <t xml:space="preserve">Argentina (italiano/alemán), México</t>
  </si>
  <si>
    <t xml:space="preserve">07/10: 22 anuncios, 47 d, 4 clones (estable). Re-chequeado hoy</t>
  </si>
  <si>
    <t xml:space="preserve">Navidad Creativa (estacional)</t>
  </si>
  <si>
    <t xml:space="preserve">~5</t>
  </si>
  <si>
    <t xml:space="preserve">Colombia; adaptar a AR/PE/MX</t>
  </si>
  <si>
    <t xml:space="preserve">Anuncios 73→73</t>
  </si>
  <si>
    <t xml:space="preserve">Udemia.IA (mini-cursos de IA)</t>
  </si>
  <si>
    <t xml:space="preserve">~6</t>
  </si>
  <si>
    <t xml:space="preserve">Argentina, México</t>
  </si>
  <si>
    <t xml:space="preserve">Anuncios 336→411; antigüedad ≥8 d (verificable); 25+ páginas de cursos IA</t>
  </si>
  <si>
    <t xml:space="preserve">Emprende con Arte (crochet)</t>
  </si>
  <si>
    <t xml:space="preserve">Colombia, Perú</t>
  </si>
  <si>
    <t xml:space="preserve">Anuncios 6→62</t>
  </si>
  <si>
    <t xml:space="preserve">Conocimiento Digital (megapack moldes costura)</t>
  </si>
  <si>
    <t xml:space="preserve">25+</t>
  </si>
  <si>
    <t xml:space="preserve">Ecuador, Guatemala, Bolivia</t>
  </si>
  <si>
    <t xml:space="preserve">Saturado (25+ clones)</t>
  </si>
  <si>
    <t xml:space="preserve">Carpintería para todos</t>
  </si>
  <si>
    <t xml:space="preserve">6+</t>
  </si>
  <si>
    <t xml:space="preserve">Anuncios 50→145</t>
  </si>
  <si>
    <t xml:space="preserve">Biblioteca Definitiva de Tejido</t>
  </si>
  <si>
    <t xml:space="preserve">Mundo Creativo (moldes goma eva)</t>
  </si>
  <si>
    <t xml:space="preserve">Perú, Colombia</t>
  </si>
  <si>
    <t xml:space="preserve">1500 Moldes de Costura</t>
  </si>
  <si>
    <t xml:space="preserve">México, Colombia, Argentina</t>
  </si>
  <si>
    <t xml:space="preserve">Saturado. 06/10 aparece con score 51 y 17 anuncios (caída)</t>
  </si>
  <si>
    <t xml:space="preserve">MonteAgro (manuales de cultivo)</t>
  </si>
  <si>
    <t xml:space="preserve">0</t>
  </si>
  <si>
    <t xml:space="preserve">Colombia, Perú, México</t>
  </si>
  <si>
    <t xml:space="preserve">Anuncios 72→108</t>
  </si>
  <si>
    <t xml:space="preserve">Geriactiva</t>
  </si>
  <si>
    <t xml:space="preserve">7+</t>
  </si>
  <si>
    <t xml:space="preserve">Ola reciente, en observación</t>
  </si>
  <si>
    <t xml:space="preserve">Šicí cirkus (CZ, patrones de costura y cursos)</t>
  </si>
  <si>
    <t xml:space="preserve">3 anunciantes</t>
  </si>
  <si>
    <t xml:space="preserve">Chequia</t>
  </si>
  <si>
    <t xml:space="preserve">Única señal real de Europa del Este</t>
  </si>
  <si>
    <t xml:space="preserve">She Fixed</t>
  </si>
  <si>
    <t xml:space="preserve">Último dato 30/09; no se pudo re-medir</t>
  </si>
  <si>
    <t xml:space="preserve">Sofia Fernández</t>
  </si>
  <si>
    <t xml:space="preserve">Solo score en la lista maestra (sin métricas)</t>
  </si>
  <si>
    <t xml:space="preserve">Amigurumi Navideño</t>
  </si>
  <si>
    <t xml:space="preserve">Biblioteca Digital</t>
  </si>
  <si>
    <t xml:space="preserve">Melissa Amicraft</t>
  </si>
  <si>
    <t xml:space="preserve">Habilidades Esenciales</t>
  </si>
  <si>
    <t xml:space="preserve">Fermentados</t>
  </si>
  <si>
    <t xml:space="preserve">Quesos</t>
  </si>
  <si>
    <t xml:space="preserve">Juana Castro</t>
  </si>
  <si>
    <t xml:space="preserve">MundoManuarte</t>
  </si>
  <si>
    <t xml:space="preserve">Mentoría Global</t>
  </si>
  <si>
    <t xml:space="preserve">Método Aprende y Emprende</t>
  </si>
  <si>
    <t xml:space="preserve">NUVIA</t>
  </si>
  <si>
    <t xml:space="preserve">canino</t>
  </si>
  <si>
    <t xml:space="preserve">NuBook solar</t>
  </si>
  <si>
    <t xml:space="preserve">EmprendeEbook</t>
  </si>
  <si>
    <t xml:space="preserve">The Knowhow Co.</t>
  </si>
  <si>
    <t xml:space="preserve">Chequeo 07/10 (este chat)</t>
  </si>
  <si>
    <t xml:space="preserve">2026-10-07</t>
  </si>
  <si>
    <t xml:space="preserve">The Clay Blueprints</t>
  </si>
  <si>
    <t xml:space="preserve">Cerámica</t>
  </si>
  <si>
    <t xml:space="preserve">Plantillas imprimibles 150+</t>
  </si>
  <si>
    <t xml:space="preserve">Alta</t>
  </si>
  <si>
    <t xml:space="preserve">US, GB, DE, AU</t>
  </si>
  <si>
    <t xml:space="preserve">≥9 (todos &lt;7 d)</t>
  </si>
  <si>
    <t xml:space="preserve">Dhs 154 (~US$42)</t>
  </si>
  <si>
    <t xml:space="preserve">Medio: urgencia sostenida; botones 'Out of stock'</t>
  </si>
  <si>
    <t xml:space="preserve">EE. UU., Reino Unido</t>
  </si>
  <si>
    <t xml:space="preserve">Original con ola de clones nueva</t>
  </si>
  <si>
    <t xml:space="preserve">https://www.facebook.com/ads/library/?id=1692912678840741</t>
  </si>
  <si>
    <t xml:space="preserve">El Universo del Crochet</t>
  </si>
  <si>
    <t xml:space="preserve">PDFs '50 X' + combo</t>
  </si>
  <si>
    <t xml:space="preserve">MX, ES, AR, CO</t>
  </si>
  <si>
    <t xml:space="preserve">0 idénticos (2 adyacentes)</t>
  </si>
  <si>
    <t xml:space="preserve">US$5 por colección; combo R$47</t>
  </si>
  <si>
    <t xml:space="preserve">Medio: contador falso y testimonios repetidos</t>
  </si>
  <si>
    <t xml:space="preserve">México, Colombia, Argentina, España</t>
  </si>
  <si>
    <t xml:space="preserve">Ads en ES a PDFs de US$5 en Hotmart</t>
  </si>
  <si>
    <t xml:space="preserve">https://www.facebook.com/ads/library/?id=1626520882317970</t>
  </si>
  <si>
    <t xml:space="preserve">120 Diagnósticos de Refrigerador (Helena Souza)</t>
  </si>
  <si>
    <t xml:space="preserve">Oficios técnicos</t>
  </si>
  <si>
    <t xml:space="preserve">Fichas de diagnóstico</t>
  </si>
  <si>
    <t xml:space="preserve">No medido (landing MX)</t>
  </si>
  <si>
    <t xml:space="preserve">US$9,90 / US$14,90</t>
  </si>
  <si>
    <t xml:space="preserve">Medio: urgencia con fecha vencida</t>
  </si>
  <si>
    <t xml:space="preserve">México</t>
  </si>
  <si>
    <t xml:space="preserve">Mismo nicho que HVAC del 06/10</t>
  </si>
  <si>
    <t xml:space="preserve">https://www.facebook.com/ads/library/?id=915476994766679</t>
  </si>
  <si>
    <t xml:space="preserve">Alemán Ilustrado (Mapas de Fluidez)</t>
  </si>
  <si>
    <t xml:space="preserve">+500 mapas mentales</t>
  </si>
  <si>
    <t xml:space="preserve">No medido</t>
  </si>
  <si>
    <t xml:space="preserve">4 (con OctoMaps)</t>
  </si>
  <si>
    <t xml:space="preserve">US$17</t>
  </si>
  <si>
    <t xml:space="preserve">Medio: contador falso</t>
  </si>
  <si>
    <t xml:space="preserve">Clon de OctoMaps</t>
  </si>
  <si>
    <t xml:space="preserve">https://www.facebook.com/ads/library/?id=5045774292315823</t>
  </si>
  <si>
    <t xml:space="preserve">+220 Fichas Visuales de Terapia Neural</t>
  </si>
  <si>
    <t xml:space="preserve">Salud (educativo)</t>
  </si>
  <si>
    <t xml:space="preserve">Atlas visual</t>
  </si>
  <si>
    <t xml:space="preserve">No determinado</t>
  </si>
  <si>
    <t xml:space="preserve">US$10 / US$17</t>
  </si>
  <si>
    <t xml:space="preserve">Medio</t>
  </si>
  <si>
    <t xml:space="preserve">México, Colombia, Argentina (hipótesis)</t>
  </si>
  <si>
    <t xml:space="preserve">Lanzamiento reciente</t>
  </si>
  <si>
    <t xml:space="preserve">https://www.facebook.com/ads/library/?id=2240108316559413</t>
  </si>
  <si>
    <t xml:space="preserve">+400 Puntos de Acupuntura</t>
  </si>
  <si>
    <t xml:space="preserve">Salud / terapias</t>
  </si>
  <si>
    <t xml:space="preserve">Mapas visuales</t>
  </si>
  <si>
    <t xml:space="preserve">Sin anuncios hallados</t>
  </si>
  <si>
    <t xml:space="preserve">US$6,90 / US$9,90</t>
  </si>
  <si>
    <t xml:space="preserve">ALTO: claims de ansiedad, peso y dolor</t>
  </si>
  <si>
    <t xml:space="preserve">—</t>
  </si>
  <si>
    <t xml:space="preserve">Sin señal en Meta</t>
  </si>
  <si>
    <t xml:space="preserve">https://loacuputure.site/</t>
  </si>
  <si>
    <t xml:space="preserve">Investigado 07/10</t>
  </si>
  <si>
    <t xml:space="preserve">Ultrasonido Visual (Laura Martínez)</t>
  </si>
  <si>
    <t xml:space="preserve">Salud / técnicos médicos</t>
  </si>
  <si>
    <t xml:space="preserve">Mapas visuales PDF</t>
  </si>
  <si>
    <t xml:space="preserve">ES (LATAM/ES)</t>
  </si>
  <si>
    <t xml:space="preserve">US$7.90–12.90 (Hotmart)</t>
  </si>
  <si>
    <t xml:space="preserve">Medio (salud)</t>
  </si>
  <si>
    <t xml:space="preserve">México / Colombia</t>
  </si>
  <si>
    <t xml:space="preserve">Familia "fichas" (nicho 38 anuncios). Re-chequear 21/10</t>
  </si>
  <si>
    <t xml:space="preserve">https://ultrasonidovisual.lovable.app/</t>
  </si>
  <si>
    <t xml:space="preserve">Derecho Penal en Mapas</t>
  </si>
  <si>
    <t xml:space="preserve">Legal / estudiantes</t>
  </si>
  <si>
    <t xml:space="preserve">ES</t>
  </si>
  <si>
    <t xml:space="preserve">US$19.90 (antes 67)</t>
  </si>
  <si>
    <t xml:space="preserve">Bajo</t>
  </si>
  <si>
    <t xml:space="preserve">Página anunciante no confirmada</t>
  </si>
  <si>
    <t xml:space="preserve">https://derechopenal.avanzatodo.com/</t>
  </si>
  <si>
    <t xml:space="preserve">NeuroClinic Maps</t>
  </si>
  <si>
    <t xml:space="preserve">Salud / neuro</t>
  </si>
  <si>
    <t xml:space="preserve">Landing sin precio visible</t>
  </si>
  <si>
    <t xml:space="preserve">https://neuroclinicmaps.shop/</t>
  </si>
  <si>
    <t xml:space="preserve">Seguridad (securidadedds)</t>
  </si>
  <si>
    <t xml:space="preserve">Seguridad / técnicos</t>
  </si>
  <si>
    <t xml:space="preserve">Fichas PDF</t>
  </si>
  <si>
    <t xml:space="preserve">US$9.90–14.90 (Hotmart)</t>
  </si>
  <si>
    <t xml:space="preserve">Sin anuncios en Meta; misma estructura que fichas heladeras</t>
  </si>
  <si>
    <t xml:space="preserve">https://securidadedds.site/</t>
  </si>
  <si>
    <t xml:space="preserve">Investigado 07/10 noche</t>
  </si>
  <si>
    <t xml:space="preserve">+120 Mapas Visuales de Ejercicio Terapéutico (Alexia Paredes)</t>
  </si>
  <si>
    <t xml:space="preserve">Fisioterapia / kinesiología</t>
  </si>
  <si>
    <t xml:space="preserve">US$7,90 / 12,90 (Hotmart)</t>
  </si>
  <si>
    <t xml:space="preserve">Mismo molde de la ola fisio; recién lanzado. Re-chequear 21/10</t>
  </si>
  <si>
    <t xml:space="preserve">https://ejercicioteraputico.lovable.app/</t>
  </si>
  <si>
    <t xml:space="preserve">+297 Mapas Fisioterapia Musculoesquelética (Super Mapas / Luna Celeste, vínculo probable)</t>
  </si>
  <si>
    <t xml:space="preserve">ES · anuncios en USD y MXN</t>
  </si>
  <si>
    <t xml:space="preserve">US$8,90 / 12,90 (Hotmart)</t>
  </si>
  <si>
    <t xml:space="preserve">México (ya se vende), Colombia, Perú</t>
  </si>
  <si>
    <t xml:space="preserve">SATURADO: ≥9 anunciantes; Aula Virtual 2.0 lo vende a MXN 79 (~US$4). Página Luna Celeste ≥20 anuncios, el más antiguo 56 d; unión con fs.supermapas.online no confirmada</t>
  </si>
  <si>
    <t xml:space="preserve">https://fs.supermapas.online/</t>
  </si>
  <si>
    <t xml:space="preserve">TOP 3 (actualizado 07/10 noche) — piso de precio US$9,90, filtro 20 d / &gt;15 anuncios, menos competencia</t>
  </si>
  <si>
    <t xml:space="preserve">#</t>
  </si>
  <si>
    <t xml:space="preserve">Producto</t>
  </si>
  <si>
    <t xml:space="preserve">Días</t>
  </si>
  <si>
    <t xml:space="preserve">Anuncios</t>
  </si>
  <si>
    <t xml:space="preserve">Clones</t>
  </si>
  <si>
    <t xml:space="preserve">Se vende hoy en</t>
  </si>
  <si>
    <t xml:space="preserve">Mejor país para vender</t>
  </si>
  <si>
    <t xml:space="preserve">Idioma</t>
  </si>
  <si>
    <t xml:space="preserve">Pendiente</t>
  </si>
  <si>
    <t xml:space="preserve">Catálogo de ebooks esotéricos (modelo traducible)</t>
  </si>
  <si>
    <t xml:space="preserve">Mercados no hispanos (modelo original)</t>
  </si>
  <si>
    <t xml:space="preserve">Español (rioplatense/neutro)</t>
  </si>
  <si>
    <t xml:space="preserve">Confirmar precio y plataforma</t>
  </si>
  <si>
    <t xml:space="preserve">OctoMaps / idiomas con mapas mentales</t>
  </si>
  <si>
    <t xml:space="preserve">Español</t>
  </si>
  <si>
    <t xml:space="preserve">Confirmar precio (competidor ~US$17)</t>
  </si>
  <si>
    <t xml:space="preserve">100 Attività Sensoriali (0–5 años)</t>
  </si>
  <si>
    <t xml:space="preserve">Italia, España, México, Chile, Colombia, Brasil</t>
  </si>
  <si>
    <t xml:space="preserve">España, México</t>
  </si>
  <si>
    <t xml:space="preserve">Confirmar precio</t>
  </si>
  <si>
    <t xml:space="preserve">Alternativa para Argentina: Aprende y Emprende (moldes cuero y bolsos, voseo) — score 67, 33 d, 33 anuncios, 1–2 clones.</t>
  </si>
  <si>
    <t xml:space="preserve">Descartados hoy: familia fisio/mapas (saturada, precio en guerra), Digi Aprende y Tudo para Costura (≥11 clones), productos a US$5.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</si>
</sst>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9"/>
      <name val="Arial"/>
      <family val="0"/>
      <charset val="1"/>
    </font>
    <font>
      <b val="true"/>
      <sz val="12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7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1"/>
    <col collapsed="false" customWidth="true" hidden="false" outlineLevel="0" max="3" min="3" style="1" width="38"/>
    <col collapsed="false" customWidth="true" hidden="false" outlineLevel="0" max="4" min="4" style="1" width="18"/>
    <col collapsed="false" customWidth="true" hidden="false" outlineLevel="0" max="5" min="5" style="1" width="22"/>
    <col collapsed="false" customWidth="true" hidden="false" outlineLevel="0" max="6" min="6" style="1" width="8"/>
    <col collapsed="false" customWidth="true" hidden="false" outlineLevel="0" max="7" min="7" style="1" width="10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10"/>
    <col collapsed="false" customWidth="true" hidden="false" outlineLevel="0" max="11" min="11" style="1" width="28"/>
    <col collapsed="false" customWidth="true" hidden="false" outlineLevel="0" max="13" min="12" style="1" width="22"/>
    <col collapsed="false" customWidth="true" hidden="false" outlineLevel="0" max="14" min="14" style="1" width="28"/>
    <col collapsed="false" customWidth="true" hidden="false" outlineLevel="0" max="15" min="15" style="1" width="32"/>
    <col collapsed="false" customWidth="true" hidden="false" outlineLevel="0" max="16" min="16" style="1" width="40"/>
    <col collapsed="false" customWidth="true" hidden="false" outlineLevel="0" max="17" min="17" style="1" width="36"/>
    <col collapsed="false" customWidth="true" hidden="false" outlineLevel="0" max="18" min="18" style="1" width="16"/>
    <col collapsed="false" customWidth="true" hidden="false" outlineLevel="0" max="19" min="19" style="1" width="10"/>
  </cols>
  <sheetData>
    <row r="1" customFormat="false" ht="43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customFormat="false" ht="34.5" hidden="false" customHeight="true" outlineLevel="0" collapsed="false">
      <c r="A2" s="3" t="s">
        <v>19</v>
      </c>
      <c r="B2" s="3" t="s">
        <v>20</v>
      </c>
      <c r="C2" s="3" t="s">
        <v>21</v>
      </c>
      <c r="D2" s="3" t="s">
        <v>22</v>
      </c>
      <c r="E2" s="3" t="s">
        <v>23</v>
      </c>
      <c r="F2" s="4" t="n">
        <v>86</v>
      </c>
      <c r="G2" s="3" t="s">
        <v>24</v>
      </c>
      <c r="H2" s="4" t="str">
        <f aca="false">IF(F2&gt;=80,"🟢🟢 GANADOR FUERTE",IF(F2&gt;=60,"🟢 GANADOR",IF(F2&gt;=40,"🟡 POTENCIAL","🔴 DESCARTAR")))</f>
        <v>🟢🟢 GANADOR FUERTE</v>
      </c>
      <c r="I2" s="3" t="n">
        <v>18</v>
      </c>
      <c r="J2" s="3" t="n">
        <v>23</v>
      </c>
      <c r="K2" s="3" t="s">
        <v>25</v>
      </c>
      <c r="L2" s="3" t="n">
        <v>11</v>
      </c>
      <c r="M2" s="3" t="s">
        <v>26</v>
      </c>
      <c r="N2" s="3" t="s">
        <v>27</v>
      </c>
      <c r="O2" s="3" t="s">
        <v>28</v>
      </c>
      <c r="P2" s="3" t="s">
        <v>29</v>
      </c>
      <c r="Q2" s="3" t="s">
        <v>30</v>
      </c>
      <c r="R2" s="3" t="str">
        <f aca="false">IF(OR(I2="",J2=""),"Sin dato",IF(AND(I2&gt;=20,J2&gt;15),"Sí","No"))</f>
        <v>No</v>
      </c>
      <c r="S2" s="3" t="n">
        <f aca="false">RANK(F2,$F$2:$F$73)</f>
        <v>2</v>
      </c>
    </row>
    <row r="3" customFormat="false" ht="34.5" hidden="false" customHeight="true" outlineLevel="0" collapsed="false">
      <c r="A3" s="3" t="s">
        <v>19</v>
      </c>
      <c r="B3" s="3" t="s">
        <v>20</v>
      </c>
      <c r="C3" s="3" t="s">
        <v>31</v>
      </c>
      <c r="D3" s="3" t="s">
        <v>32</v>
      </c>
      <c r="E3" s="3" t="s">
        <v>33</v>
      </c>
      <c r="F3" s="4" t="n">
        <v>85</v>
      </c>
      <c r="G3" s="3" t="s">
        <v>34</v>
      </c>
      <c r="H3" s="4" t="str">
        <f aca="false">IF(F3&gt;=80,"🟢🟢 GANADOR FUERTE",IF(F3&gt;=60,"🟢 GANADOR",IF(F3&gt;=40,"🟡 POTENCIAL","🔴 DESCARTAR")))</f>
        <v>🟢🟢 GANADOR FUERTE</v>
      </c>
      <c r="I3" s="3" t="n">
        <v>20</v>
      </c>
      <c r="J3" s="3" t="n">
        <v>79</v>
      </c>
      <c r="K3" s="3" t="s">
        <v>35</v>
      </c>
      <c r="L3" s="3" t="n">
        <v>8</v>
      </c>
      <c r="M3" s="3" t="s">
        <v>36</v>
      </c>
      <c r="N3" s="3" t="s">
        <v>37</v>
      </c>
      <c r="O3" s="3" t="s">
        <v>38</v>
      </c>
      <c r="P3" s="3" t="s">
        <v>39</v>
      </c>
      <c r="Q3" s="3" t="s">
        <v>40</v>
      </c>
      <c r="R3" s="3" t="str">
        <f aca="false">IF(OR(I3="",J3=""),"Sin dato",IF(AND(I3&gt;=20,J3&gt;15),"Sí","No"))</f>
        <v>Sí</v>
      </c>
      <c r="S3" s="3" t="n">
        <f aca="false">RANK(F3,$F$2:$F$73)</f>
        <v>3</v>
      </c>
    </row>
    <row r="4" customFormat="false" ht="45.75" hidden="false" customHeight="true" outlineLevel="0" collapsed="false">
      <c r="A4" s="3" t="s">
        <v>19</v>
      </c>
      <c r="B4" s="3" t="s">
        <v>20</v>
      </c>
      <c r="C4" s="3" t="s">
        <v>41</v>
      </c>
      <c r="D4" s="3" t="s">
        <v>42</v>
      </c>
      <c r="E4" s="3" t="s">
        <v>43</v>
      </c>
      <c r="F4" s="4" t="n">
        <v>79</v>
      </c>
      <c r="G4" s="3" t="s">
        <v>34</v>
      </c>
      <c r="H4" s="4" t="str">
        <f aca="false">IF(F4&gt;=80,"🟢🟢 GANADOR FUERTE",IF(F4&gt;=60,"🟢 GANADOR",IF(F4&gt;=40,"🟡 POTENCIAL","🔴 DESCARTAR")))</f>
        <v>🟢 GANADOR</v>
      </c>
      <c r="I4" s="3" t="n">
        <v>37</v>
      </c>
      <c r="J4" s="3" t="n">
        <v>38</v>
      </c>
      <c r="K4" s="3" t="s">
        <v>44</v>
      </c>
      <c r="L4" s="3" t="n">
        <v>4</v>
      </c>
      <c r="M4" s="3" t="s">
        <v>45</v>
      </c>
      <c r="N4" s="3" t="s">
        <v>27</v>
      </c>
      <c r="O4" s="3" t="s">
        <v>46</v>
      </c>
      <c r="P4" s="3" t="s">
        <v>39</v>
      </c>
      <c r="Q4" s="3" t="s">
        <v>47</v>
      </c>
      <c r="R4" s="3" t="str">
        <f aca="false">IF(OR(I4="",J4=""),"Sin dato",IF(AND(I4&gt;=20,J4&gt;15),"Sí","No"))</f>
        <v>Sí</v>
      </c>
      <c r="S4" s="3" t="n">
        <f aca="false">RANK(F4,$F$2:$F$73)</f>
        <v>5</v>
      </c>
    </row>
    <row r="5" customFormat="false" ht="34.5" hidden="false" customHeight="true" outlineLevel="0" collapsed="false">
      <c r="A5" s="3" t="s">
        <v>19</v>
      </c>
      <c r="B5" s="3" t="s">
        <v>20</v>
      </c>
      <c r="C5" s="3" t="s">
        <v>48</v>
      </c>
      <c r="D5" s="3" t="s">
        <v>49</v>
      </c>
      <c r="E5" s="3" t="s">
        <v>50</v>
      </c>
      <c r="F5" s="4" t="n">
        <v>79</v>
      </c>
      <c r="G5" s="3" t="s">
        <v>34</v>
      </c>
      <c r="H5" s="4" t="str">
        <f aca="false">IF(F5&gt;=80,"🟢🟢 GANADOR FUERTE",IF(F5&gt;=60,"🟢 GANADOR",IF(F5&gt;=40,"🟡 POTENCIAL","🔴 DESCARTAR")))</f>
        <v>🟢 GANADOR</v>
      </c>
      <c r="I5" s="3" t="n">
        <v>64</v>
      </c>
      <c r="J5" s="3" t="n">
        <v>39</v>
      </c>
      <c r="K5" s="3" t="s">
        <v>51</v>
      </c>
      <c r="L5" s="3" t="n">
        <v>11</v>
      </c>
      <c r="M5" s="3" t="s">
        <v>52</v>
      </c>
      <c r="N5" s="3" t="s">
        <v>27</v>
      </c>
      <c r="O5" s="3" t="s">
        <v>53</v>
      </c>
      <c r="P5" s="3" t="s">
        <v>39</v>
      </c>
      <c r="Q5" s="3" t="s">
        <v>54</v>
      </c>
      <c r="R5" s="3" t="str">
        <f aca="false">IF(OR(I5="",J5=""),"Sin dato",IF(AND(I5&gt;=20,J5&gt;15),"Sí","No"))</f>
        <v>Sí</v>
      </c>
      <c r="S5" s="3" t="n">
        <f aca="false">RANK(F5,$F$2:$F$73)</f>
        <v>5</v>
      </c>
    </row>
    <row r="6" customFormat="false" ht="34.5" hidden="false" customHeight="true" outlineLevel="0" collapsed="false">
      <c r="A6" s="3" t="s">
        <v>19</v>
      </c>
      <c r="B6" s="3" t="s">
        <v>20</v>
      </c>
      <c r="C6" s="3" t="s">
        <v>55</v>
      </c>
      <c r="D6" s="3" t="s">
        <v>56</v>
      </c>
      <c r="E6" s="3" t="s">
        <v>57</v>
      </c>
      <c r="F6" s="4" t="n">
        <v>78</v>
      </c>
      <c r="G6" s="3" t="s">
        <v>34</v>
      </c>
      <c r="H6" s="4" t="str">
        <f aca="false">IF(F6&gt;=80,"🟢🟢 GANADOR FUERTE",IF(F6&gt;=60,"🟢 GANADOR",IF(F6&gt;=40,"🟡 POTENCIAL","🔴 DESCARTAR")))</f>
        <v>🟢 GANADOR</v>
      </c>
      <c r="I6" s="3" t="n">
        <v>218</v>
      </c>
      <c r="J6" s="3" t="n">
        <v>28</v>
      </c>
      <c r="K6" s="3" t="s">
        <v>58</v>
      </c>
      <c r="L6" s="3" t="n">
        <v>12</v>
      </c>
      <c r="M6" s="3" t="s">
        <v>59</v>
      </c>
      <c r="N6" s="3" t="s">
        <v>27</v>
      </c>
      <c r="O6" s="3" t="s">
        <v>60</v>
      </c>
      <c r="P6" s="3" t="s">
        <v>39</v>
      </c>
      <c r="Q6" s="3" t="s">
        <v>61</v>
      </c>
      <c r="R6" s="3" t="str">
        <f aca="false">IF(OR(I6="",J6=""),"Sin dato",IF(AND(I6&gt;=20,J6&gt;15),"Sí","No"))</f>
        <v>Sí</v>
      </c>
      <c r="S6" s="3" t="n">
        <f aca="false">RANK(F6,$F$2:$F$73)</f>
        <v>7</v>
      </c>
    </row>
    <row r="7" customFormat="false" ht="34.5" hidden="false" customHeight="true" outlineLevel="0" collapsed="false">
      <c r="A7" s="3" t="s">
        <v>19</v>
      </c>
      <c r="B7" s="3" t="s">
        <v>20</v>
      </c>
      <c r="C7" s="3" t="s">
        <v>62</v>
      </c>
      <c r="D7" s="3" t="s">
        <v>63</v>
      </c>
      <c r="E7" s="3" t="s">
        <v>64</v>
      </c>
      <c r="F7" s="4" t="n">
        <v>78</v>
      </c>
      <c r="G7" s="3" t="s">
        <v>34</v>
      </c>
      <c r="H7" s="4" t="str">
        <f aca="false">IF(F7&gt;=80,"🟢🟢 GANADOR FUERTE",IF(F7&gt;=60,"🟢 GANADOR",IF(F7&gt;=40,"🟡 POTENCIAL","🔴 DESCARTAR")))</f>
        <v>🟢 GANADOR</v>
      </c>
      <c r="I7" s="3" t="n">
        <v>26</v>
      </c>
      <c r="J7" s="3" t="n">
        <v>66</v>
      </c>
      <c r="K7" s="3" t="s">
        <v>58</v>
      </c>
      <c r="L7" s="3" t="n">
        <v>6</v>
      </c>
      <c r="M7" s="3" t="s">
        <v>26</v>
      </c>
      <c r="N7" s="3" t="s">
        <v>27</v>
      </c>
      <c r="O7" s="3" t="s">
        <v>65</v>
      </c>
      <c r="P7" s="3" t="s">
        <v>39</v>
      </c>
      <c r="Q7" s="3" t="s">
        <v>66</v>
      </c>
      <c r="R7" s="3" t="str">
        <f aca="false">IF(OR(I7="",J7=""),"Sin dato",IF(AND(I7&gt;=20,J7&gt;15),"Sí","No"))</f>
        <v>Sí</v>
      </c>
      <c r="S7" s="3" t="n">
        <f aca="false">RANK(F7,$F$2:$F$73)</f>
        <v>7</v>
      </c>
    </row>
    <row r="8" customFormat="false" ht="45.75" hidden="false" customHeight="true" outlineLevel="0" collapsed="false">
      <c r="A8" s="3" t="s">
        <v>19</v>
      </c>
      <c r="B8" s="3" t="s">
        <v>20</v>
      </c>
      <c r="C8" s="3" t="s">
        <v>67</v>
      </c>
      <c r="D8" s="3" t="s">
        <v>68</v>
      </c>
      <c r="E8" s="3" t="s">
        <v>69</v>
      </c>
      <c r="F8" s="4" t="n">
        <v>76</v>
      </c>
      <c r="G8" s="3" t="s">
        <v>34</v>
      </c>
      <c r="H8" s="4" t="str">
        <f aca="false">IF(F8&gt;=80,"🟢🟢 GANADOR FUERTE",IF(F8&gt;=60,"🟢 GANADOR",IF(F8&gt;=40,"🟡 POTENCIAL","🔴 DESCARTAR")))</f>
        <v>🟢 GANADOR</v>
      </c>
      <c r="I8" s="3" t="n">
        <v>31</v>
      </c>
      <c r="J8" s="3" t="n">
        <v>72</v>
      </c>
      <c r="K8" s="3" t="s">
        <v>70</v>
      </c>
      <c r="L8" s="3" t="n">
        <v>8</v>
      </c>
      <c r="M8" s="3" t="s">
        <v>71</v>
      </c>
      <c r="N8" s="3" t="s">
        <v>27</v>
      </c>
      <c r="O8" s="3" t="s">
        <v>72</v>
      </c>
      <c r="P8" s="3" t="s">
        <v>39</v>
      </c>
      <c r="Q8" s="3" t="s">
        <v>73</v>
      </c>
      <c r="R8" s="3" t="str">
        <f aca="false">IF(OR(I8="",J8=""),"Sin dato",IF(AND(I8&gt;=20,J8&gt;15),"Sí","No"))</f>
        <v>Sí</v>
      </c>
      <c r="S8" s="3" t="n">
        <f aca="false">RANK(F8,$F$2:$F$73)</f>
        <v>9</v>
      </c>
    </row>
    <row r="9" customFormat="false" ht="34.5" hidden="false" customHeight="true" outlineLevel="0" collapsed="false">
      <c r="A9" s="3" t="s">
        <v>19</v>
      </c>
      <c r="B9" s="3" t="s">
        <v>20</v>
      </c>
      <c r="C9" s="3" t="s">
        <v>74</v>
      </c>
      <c r="D9" s="3" t="s">
        <v>75</v>
      </c>
      <c r="E9" s="3" t="s">
        <v>76</v>
      </c>
      <c r="F9" s="4" t="n">
        <v>74</v>
      </c>
      <c r="G9" s="3" t="s">
        <v>24</v>
      </c>
      <c r="H9" s="4" t="str">
        <f aca="false">IF(F9&gt;=80,"🟢🟢 GANADOR FUERTE",IF(F9&gt;=60,"🟢 GANADOR",IF(F9&gt;=40,"🟡 POTENCIAL","🔴 DESCARTAR")))</f>
        <v>🟢 GANADOR</v>
      </c>
      <c r="I9" s="3" t="n">
        <v>16</v>
      </c>
      <c r="J9" s="3" t="n">
        <v>52</v>
      </c>
      <c r="K9" s="3" t="s">
        <v>35</v>
      </c>
      <c r="L9" s="3" t="n">
        <v>4</v>
      </c>
      <c r="M9" s="3" t="s">
        <v>26</v>
      </c>
      <c r="N9" s="3" t="s">
        <v>27</v>
      </c>
      <c r="O9" s="3" t="s">
        <v>77</v>
      </c>
      <c r="P9" s="3" t="s">
        <v>29</v>
      </c>
      <c r="Q9" s="3" t="s">
        <v>78</v>
      </c>
      <c r="R9" s="3" t="str">
        <f aca="false">IF(OR(I9="",J9=""),"Sin dato",IF(AND(I9&gt;=20,J9&gt;15),"Sí","No"))</f>
        <v>No</v>
      </c>
      <c r="S9" s="3" t="n">
        <f aca="false">RANK(F9,$F$2:$F$73)</f>
        <v>10</v>
      </c>
    </row>
    <row r="10" customFormat="false" ht="34.5" hidden="false" customHeight="true" outlineLevel="0" collapsed="false">
      <c r="A10" s="3" t="s">
        <v>19</v>
      </c>
      <c r="B10" s="3" t="s">
        <v>20</v>
      </c>
      <c r="C10" s="3" t="s">
        <v>79</v>
      </c>
      <c r="D10" s="3" t="s">
        <v>80</v>
      </c>
      <c r="E10" s="3" t="s">
        <v>81</v>
      </c>
      <c r="F10" s="4" t="n">
        <v>68</v>
      </c>
      <c r="G10" s="3" t="s">
        <v>34</v>
      </c>
      <c r="H10" s="4" t="str">
        <f aca="false">IF(F10&gt;=80,"🟢🟢 GANADOR FUERTE",IF(F10&gt;=60,"🟢 GANADOR",IF(F10&gt;=40,"🟡 POTENCIAL","🔴 DESCARTAR")))</f>
        <v>🟢 GANADOR</v>
      </c>
      <c r="I10" s="3" t="n">
        <v>16</v>
      </c>
      <c r="J10" s="3" t="n">
        <v>137</v>
      </c>
      <c r="K10" s="3" t="s">
        <v>82</v>
      </c>
      <c r="L10" s="3" t="n">
        <v>1</v>
      </c>
      <c r="M10" s="3" t="s">
        <v>26</v>
      </c>
      <c r="N10" s="3" t="s">
        <v>83</v>
      </c>
      <c r="O10" s="3" t="s">
        <v>84</v>
      </c>
      <c r="P10" s="3" t="s">
        <v>85</v>
      </c>
      <c r="Q10" s="3" t="s">
        <v>86</v>
      </c>
      <c r="R10" s="3" t="str">
        <f aca="false">IF(OR(I10="",J10=""),"Sin dato",IF(AND(I10&gt;=20,J10&gt;15),"Sí","No"))</f>
        <v>No</v>
      </c>
      <c r="S10" s="3" t="n">
        <f aca="false">RANK(F10,$F$2:$F$73)</f>
        <v>12</v>
      </c>
    </row>
    <row r="11" customFormat="false" ht="34.5" hidden="false" customHeight="true" outlineLevel="0" collapsed="false">
      <c r="A11" s="3" t="s">
        <v>19</v>
      </c>
      <c r="B11" s="3" t="s">
        <v>20</v>
      </c>
      <c r="C11" s="3" t="s">
        <v>87</v>
      </c>
      <c r="D11" s="3" t="s">
        <v>88</v>
      </c>
      <c r="E11" s="3" t="s">
        <v>89</v>
      </c>
      <c r="F11" s="4" t="n">
        <v>68</v>
      </c>
      <c r="G11" s="3" t="s">
        <v>34</v>
      </c>
      <c r="H11" s="4" t="str">
        <f aca="false">IF(F11&gt;=80,"🟢🟢 GANADOR FUERTE",IF(F11&gt;=60,"🟢 GANADOR",IF(F11&gt;=40,"🟡 POTENCIAL","🔴 DESCARTAR")))</f>
        <v>🟢 GANADOR</v>
      </c>
      <c r="I11" s="3" t="n">
        <v>5</v>
      </c>
      <c r="J11" s="3" t="n">
        <v>55</v>
      </c>
      <c r="K11" s="3" t="s">
        <v>35</v>
      </c>
      <c r="L11" s="3" t="n">
        <v>10</v>
      </c>
      <c r="M11" s="3" t="s">
        <v>26</v>
      </c>
      <c r="N11" s="3" t="s">
        <v>27</v>
      </c>
      <c r="O11" s="3" t="s">
        <v>90</v>
      </c>
      <c r="P11" s="3" t="s">
        <v>85</v>
      </c>
      <c r="Q11" s="3" t="s">
        <v>91</v>
      </c>
      <c r="R11" s="3" t="str">
        <f aca="false">IF(OR(I11="",J11=""),"Sin dato",IF(AND(I11&gt;=20,J11&gt;15),"Sí","No"))</f>
        <v>No</v>
      </c>
      <c r="S11" s="3" t="n">
        <f aca="false">RANK(F11,$F$2:$F$73)</f>
        <v>12</v>
      </c>
    </row>
    <row r="12" customFormat="false" ht="45.75" hidden="false" customHeight="true" outlineLevel="0" collapsed="false">
      <c r="A12" s="3" t="s">
        <v>19</v>
      </c>
      <c r="B12" s="3" t="s">
        <v>20</v>
      </c>
      <c r="C12" s="3" t="s">
        <v>92</v>
      </c>
      <c r="D12" s="3" t="s">
        <v>93</v>
      </c>
      <c r="E12" s="3" t="s">
        <v>94</v>
      </c>
      <c r="F12" s="4" t="n">
        <v>66</v>
      </c>
      <c r="G12" s="3" t="s">
        <v>34</v>
      </c>
      <c r="H12" s="4" t="str">
        <f aca="false">IF(F12&gt;=80,"🟢🟢 GANADOR FUERTE",IF(F12&gt;=60,"🟢 GANADOR",IF(F12&gt;=40,"🟡 POTENCIAL","🔴 DESCARTAR")))</f>
        <v>🟢 GANADOR</v>
      </c>
      <c r="I12" s="3" t="n">
        <v>110</v>
      </c>
      <c r="J12" s="3" t="n">
        <v>22</v>
      </c>
      <c r="K12" s="3" t="s">
        <v>95</v>
      </c>
      <c r="L12" s="3" t="n">
        <v>4</v>
      </c>
      <c r="M12" s="3" t="s">
        <v>26</v>
      </c>
      <c r="N12" s="3" t="s">
        <v>27</v>
      </c>
      <c r="O12" s="3" t="s">
        <v>96</v>
      </c>
      <c r="P12" s="3" t="s">
        <v>39</v>
      </c>
      <c r="Q12" s="3" t="s">
        <v>97</v>
      </c>
      <c r="R12" s="3" t="str">
        <f aca="false">IF(OR(I12="",J12=""),"Sin dato",IF(AND(I12&gt;=20,J12&gt;15),"Sí","No"))</f>
        <v>Sí</v>
      </c>
      <c r="S12" s="3" t="n">
        <f aca="false">RANK(F12,$F$2:$F$73)</f>
        <v>15</v>
      </c>
    </row>
    <row r="13" customFormat="false" ht="34.5" hidden="false" customHeight="true" outlineLevel="0" collapsed="false">
      <c r="A13" s="3" t="s">
        <v>19</v>
      </c>
      <c r="B13" s="3" t="s">
        <v>20</v>
      </c>
      <c r="C13" s="3" t="s">
        <v>98</v>
      </c>
      <c r="D13" s="3" t="s">
        <v>99</v>
      </c>
      <c r="E13" s="3" t="s">
        <v>100</v>
      </c>
      <c r="F13" s="4" t="n">
        <v>66</v>
      </c>
      <c r="G13" s="3" t="s">
        <v>24</v>
      </c>
      <c r="H13" s="4" t="str">
        <f aca="false">IF(F13&gt;=80,"🟢🟢 GANADOR FUERTE",IF(F13&gt;=60,"🟢 GANADOR",IF(F13&gt;=40,"🟡 POTENCIAL","🔴 DESCARTAR")))</f>
        <v>🟢 GANADOR</v>
      </c>
      <c r="I13" s="3" t="n">
        <v>13</v>
      </c>
      <c r="J13" s="3" t="n">
        <v>25</v>
      </c>
      <c r="K13" s="3" t="s">
        <v>101</v>
      </c>
      <c r="L13" s="3" t="n">
        <v>11</v>
      </c>
      <c r="M13" s="3" t="s">
        <v>102</v>
      </c>
      <c r="N13" s="3" t="s">
        <v>27</v>
      </c>
      <c r="O13" s="3" t="s">
        <v>103</v>
      </c>
      <c r="P13" s="3" t="s">
        <v>29</v>
      </c>
      <c r="Q13" s="3" t="s">
        <v>104</v>
      </c>
      <c r="R13" s="3" t="str">
        <f aca="false">IF(OR(I13="",J13=""),"Sin dato",IF(AND(I13&gt;=20,J13&gt;15),"Sí","No"))</f>
        <v>No</v>
      </c>
      <c r="S13" s="3" t="n">
        <f aca="false">RANK(F13,$F$2:$F$73)</f>
        <v>15</v>
      </c>
    </row>
    <row r="14" customFormat="false" ht="34.5" hidden="false" customHeight="true" outlineLevel="0" collapsed="false">
      <c r="A14" s="3" t="s">
        <v>19</v>
      </c>
      <c r="B14" s="3" t="s">
        <v>20</v>
      </c>
      <c r="C14" s="3" t="s">
        <v>105</v>
      </c>
      <c r="D14" s="3" t="s">
        <v>106</v>
      </c>
      <c r="E14" s="3" t="s">
        <v>107</v>
      </c>
      <c r="F14" s="4" t="n">
        <v>64</v>
      </c>
      <c r="G14" s="3" t="s">
        <v>34</v>
      </c>
      <c r="H14" s="4" t="str">
        <f aca="false">IF(F14&gt;=80,"🟢🟢 GANADOR FUERTE",IF(F14&gt;=60,"🟢 GANADOR",IF(F14&gt;=40,"🟡 POTENCIAL","🔴 DESCARTAR")))</f>
        <v>🟢 GANADOR</v>
      </c>
      <c r="I14" s="3" t="n">
        <v>14</v>
      </c>
      <c r="J14" s="3" t="n">
        <v>94</v>
      </c>
      <c r="K14" s="3" t="s">
        <v>108</v>
      </c>
      <c r="L14" s="3" t="n">
        <v>3</v>
      </c>
      <c r="M14" s="3" t="s">
        <v>26</v>
      </c>
      <c r="N14" s="3" t="s">
        <v>109</v>
      </c>
      <c r="O14" s="3" t="s">
        <v>110</v>
      </c>
      <c r="P14" s="3" t="s">
        <v>85</v>
      </c>
      <c r="Q14" s="3" t="s">
        <v>111</v>
      </c>
      <c r="R14" s="3" t="str">
        <f aca="false">IF(OR(I14="",J14=""),"Sin dato",IF(AND(I14&gt;=20,J14&gt;15),"Sí","No"))</f>
        <v>No</v>
      </c>
      <c r="S14" s="3" t="n">
        <f aca="false">RANK(F14,$F$2:$F$73)</f>
        <v>20</v>
      </c>
    </row>
    <row r="15" customFormat="false" ht="34.5" hidden="false" customHeight="true" outlineLevel="0" collapsed="false">
      <c r="A15" s="3" t="s">
        <v>19</v>
      </c>
      <c r="B15" s="3" t="s">
        <v>20</v>
      </c>
      <c r="C15" s="3" t="s">
        <v>112</v>
      </c>
      <c r="D15" s="3" t="s">
        <v>113</v>
      </c>
      <c r="E15" s="3" t="s">
        <v>114</v>
      </c>
      <c r="F15" s="4" t="n">
        <v>64</v>
      </c>
      <c r="G15" s="3" t="s">
        <v>24</v>
      </c>
      <c r="H15" s="4" t="str">
        <f aca="false">IF(F15&gt;=80,"🟢🟢 GANADOR FUERTE",IF(F15&gt;=60,"🟢 GANADOR",IF(F15&gt;=40,"🟡 POTENCIAL","🔴 DESCARTAR")))</f>
        <v>🟢 GANADOR</v>
      </c>
      <c r="I15" s="3" t="n">
        <v>6</v>
      </c>
      <c r="J15" s="3" t="n">
        <v>50</v>
      </c>
      <c r="K15" s="3" t="s">
        <v>115</v>
      </c>
      <c r="L15" s="3" t="n">
        <v>11</v>
      </c>
      <c r="M15" s="3" t="s">
        <v>26</v>
      </c>
      <c r="N15" s="3" t="s">
        <v>27</v>
      </c>
      <c r="O15" s="3" t="s">
        <v>103</v>
      </c>
      <c r="P15" s="3" t="s">
        <v>29</v>
      </c>
      <c r="Q15" s="3" t="s">
        <v>116</v>
      </c>
      <c r="R15" s="3" t="str">
        <f aca="false">IF(OR(I15="",J15=""),"Sin dato",IF(AND(I15&gt;=20,J15&gt;15),"Sí","No"))</f>
        <v>No</v>
      </c>
      <c r="S15" s="3" t="n">
        <f aca="false">RANK(F15,$F$2:$F$73)</f>
        <v>20</v>
      </c>
    </row>
    <row r="16" customFormat="false" ht="34.5" hidden="false" customHeight="true" outlineLevel="0" collapsed="false">
      <c r="A16" s="3" t="s">
        <v>19</v>
      </c>
      <c r="B16" s="3" t="s">
        <v>20</v>
      </c>
      <c r="C16" s="3" t="s">
        <v>117</v>
      </c>
      <c r="D16" s="3" t="s">
        <v>118</v>
      </c>
      <c r="E16" s="3" t="s">
        <v>119</v>
      </c>
      <c r="F16" s="4" t="n">
        <v>64</v>
      </c>
      <c r="G16" s="3" t="s">
        <v>24</v>
      </c>
      <c r="H16" s="4" t="str">
        <f aca="false">IF(F16&gt;=80,"🟢🟢 GANADOR FUERTE",IF(F16&gt;=60,"🟢 GANADOR",IF(F16&gt;=40,"🟡 POTENCIAL","🔴 DESCARTAR")))</f>
        <v>🟢 GANADOR</v>
      </c>
      <c r="I16" s="3" t="n">
        <v>42</v>
      </c>
      <c r="J16" s="3" t="n">
        <v>8</v>
      </c>
      <c r="K16" s="3" t="s">
        <v>120</v>
      </c>
      <c r="L16" s="3" t="n">
        <v>6</v>
      </c>
      <c r="M16" s="3" t="s">
        <v>121</v>
      </c>
      <c r="N16" s="3" t="s">
        <v>27</v>
      </c>
      <c r="O16" s="3" t="s">
        <v>122</v>
      </c>
      <c r="P16" s="3" t="s">
        <v>123</v>
      </c>
      <c r="Q16" s="3" t="s">
        <v>124</v>
      </c>
      <c r="R16" s="3" t="str">
        <f aca="false">IF(OR(I16="",J16=""),"Sin dato",IF(AND(I16&gt;=20,J16&gt;15),"Sí","No"))</f>
        <v>No</v>
      </c>
      <c r="S16" s="3" t="n">
        <f aca="false">RANK(F16,$F$2:$F$73)</f>
        <v>20</v>
      </c>
    </row>
    <row r="17" customFormat="false" ht="34.5" hidden="false" customHeight="true" outlineLevel="0" collapsed="false">
      <c r="A17" s="3" t="s">
        <v>19</v>
      </c>
      <c r="B17" s="3" t="s">
        <v>20</v>
      </c>
      <c r="C17" s="3" t="s">
        <v>125</v>
      </c>
      <c r="D17" s="3" t="s">
        <v>126</v>
      </c>
      <c r="E17" s="3" t="s">
        <v>127</v>
      </c>
      <c r="F17" s="4" t="n">
        <v>63</v>
      </c>
      <c r="G17" s="3" t="s">
        <v>34</v>
      </c>
      <c r="H17" s="4" t="str">
        <f aca="false">IF(F17&gt;=80,"🟢🟢 GANADOR FUERTE",IF(F17&gt;=60,"🟢 GANADOR",IF(F17&gt;=40,"🟡 POTENCIAL","🔴 DESCARTAR")))</f>
        <v>🟢 GANADOR</v>
      </c>
      <c r="I17" s="3" t="n">
        <v>24</v>
      </c>
      <c r="J17" s="3" t="n">
        <v>425</v>
      </c>
      <c r="K17" s="3" t="s">
        <v>128</v>
      </c>
      <c r="L17" s="3" t="n">
        <v>1</v>
      </c>
      <c r="M17" s="3" t="s">
        <v>26</v>
      </c>
      <c r="N17" s="3" t="s">
        <v>129</v>
      </c>
      <c r="O17" s="3" t="s">
        <v>130</v>
      </c>
      <c r="P17" s="3" t="s">
        <v>39</v>
      </c>
      <c r="Q17" s="3" t="s">
        <v>131</v>
      </c>
      <c r="R17" s="3" t="str">
        <f aca="false">IF(OR(I17="",J17=""),"Sin dato",IF(AND(I17&gt;=20,J17&gt;15),"Sí","No"))</f>
        <v>Sí</v>
      </c>
      <c r="S17" s="3" t="n">
        <f aca="false">RANK(F17,$F$2:$F$73)</f>
        <v>24</v>
      </c>
    </row>
    <row r="18" customFormat="false" ht="34.5" hidden="false" customHeight="true" outlineLevel="0" collapsed="false">
      <c r="A18" s="3" t="s">
        <v>19</v>
      </c>
      <c r="B18" s="3" t="s">
        <v>20</v>
      </c>
      <c r="C18" s="3" t="s">
        <v>132</v>
      </c>
      <c r="D18" s="3" t="s">
        <v>133</v>
      </c>
      <c r="E18" s="3" t="s">
        <v>134</v>
      </c>
      <c r="F18" s="4" t="n">
        <v>56</v>
      </c>
      <c r="G18" s="3" t="s">
        <v>24</v>
      </c>
      <c r="H18" s="4" t="str">
        <f aca="false">IF(F18&gt;=80,"🟢🟢 GANADOR FUERTE",IF(F18&gt;=60,"🟢 GANADOR",IF(F18&gt;=40,"🟡 POTENCIAL","🔴 DESCARTAR")))</f>
        <v>🟡 POTENCIAL</v>
      </c>
      <c r="I18" s="3" t="n">
        <v>66</v>
      </c>
      <c r="J18" s="3" t="n">
        <v>6</v>
      </c>
      <c r="K18" s="3" t="s">
        <v>135</v>
      </c>
      <c r="L18" s="3" t="n">
        <v>4</v>
      </c>
      <c r="M18" s="3" t="s">
        <v>136</v>
      </c>
      <c r="N18" s="3" t="s">
        <v>137</v>
      </c>
      <c r="O18" s="3" t="s">
        <v>138</v>
      </c>
      <c r="P18" s="3" t="s">
        <v>123</v>
      </c>
      <c r="Q18" s="3" t="s">
        <v>139</v>
      </c>
      <c r="R18" s="3" t="str">
        <f aca="false">IF(OR(I18="",J18=""),"Sin dato",IF(AND(I18&gt;=20,J18&gt;15),"Sí","No"))</f>
        <v>No</v>
      </c>
      <c r="S18" s="3" t="n">
        <f aca="false">RANK(F18,$F$2:$F$73)</f>
        <v>33</v>
      </c>
    </row>
    <row r="19" customFormat="false" ht="34.5" hidden="false" customHeight="true" outlineLevel="0" collapsed="false">
      <c r="A19" s="3" t="s">
        <v>19</v>
      </c>
      <c r="B19" s="3" t="s">
        <v>20</v>
      </c>
      <c r="C19" s="3" t="s">
        <v>140</v>
      </c>
      <c r="D19" s="3" t="s">
        <v>141</v>
      </c>
      <c r="E19" s="3" t="s">
        <v>142</v>
      </c>
      <c r="F19" s="4" t="n">
        <v>51</v>
      </c>
      <c r="G19" s="3" t="s">
        <v>24</v>
      </c>
      <c r="H19" s="4" t="str">
        <f aca="false">IF(F19&gt;=80,"🟢🟢 GANADOR FUERTE",IF(F19&gt;=60,"🟢 GANADOR",IF(F19&gt;=40,"🟡 POTENCIAL","🔴 DESCARTAR")))</f>
        <v>🟡 POTENCIAL</v>
      </c>
      <c r="I19" s="3" t="n">
        <v>10</v>
      </c>
      <c r="J19" s="3" t="n">
        <v>42</v>
      </c>
      <c r="K19" s="3" t="s">
        <v>101</v>
      </c>
      <c r="L19" s="3" t="n">
        <v>1</v>
      </c>
      <c r="M19" s="3" t="s">
        <v>26</v>
      </c>
      <c r="N19" s="3" t="s">
        <v>27</v>
      </c>
      <c r="O19" s="3" t="s">
        <v>143</v>
      </c>
      <c r="P19" s="3" t="s">
        <v>29</v>
      </c>
      <c r="Q19" s="3" t="s">
        <v>144</v>
      </c>
      <c r="R19" s="3" t="str">
        <f aca="false">IF(OR(I19="",J19=""),"Sin dato",IF(AND(I19&gt;=20,J19&gt;15),"Sí","No"))</f>
        <v>No</v>
      </c>
      <c r="S19" s="3" t="n">
        <f aca="false">RANK(F19,$F$2:$F$73)</f>
        <v>40</v>
      </c>
    </row>
    <row r="20" customFormat="false" ht="34.5" hidden="false" customHeight="true" outlineLevel="0" collapsed="false">
      <c r="A20" s="3" t="s">
        <v>19</v>
      </c>
      <c r="B20" s="3" t="s">
        <v>20</v>
      </c>
      <c r="C20" s="3" t="s">
        <v>145</v>
      </c>
      <c r="D20" s="3" t="s">
        <v>146</v>
      </c>
      <c r="E20" s="3" t="s">
        <v>147</v>
      </c>
      <c r="F20" s="4" t="n">
        <v>51</v>
      </c>
      <c r="G20" s="3" t="s">
        <v>24</v>
      </c>
      <c r="H20" s="4" t="str">
        <f aca="false">IF(F20&gt;=80,"🟢🟢 GANADOR FUERTE",IF(F20&gt;=60,"🟢 GANADOR",IF(F20&gt;=40,"🟡 POTENCIAL","🔴 DESCARTAR")))</f>
        <v>🟡 POTENCIAL</v>
      </c>
      <c r="I20" s="3" t="n">
        <v>6</v>
      </c>
      <c r="J20" s="3" t="n">
        <v>17</v>
      </c>
      <c r="K20" s="3" t="s">
        <v>101</v>
      </c>
      <c r="L20" s="3" t="n">
        <v>12</v>
      </c>
      <c r="M20" s="3" t="s">
        <v>148</v>
      </c>
      <c r="N20" s="3" t="s">
        <v>27</v>
      </c>
      <c r="O20" s="3" t="s">
        <v>149</v>
      </c>
      <c r="P20" s="3" t="s">
        <v>29</v>
      </c>
      <c r="Q20" s="3" t="s">
        <v>150</v>
      </c>
      <c r="R20" s="3" t="str">
        <f aca="false">IF(OR(I20="",J20=""),"Sin dato",IF(AND(I20&gt;=20,J20&gt;15),"Sí","No"))</f>
        <v>No</v>
      </c>
      <c r="S20" s="3" t="n">
        <f aca="false">RANK(F20,$F$2:$F$73)</f>
        <v>40</v>
      </c>
    </row>
    <row r="21" customFormat="false" ht="34.5" hidden="false" customHeight="true" outlineLevel="0" collapsed="false">
      <c r="A21" s="3" t="s">
        <v>19</v>
      </c>
      <c r="B21" s="3" t="s">
        <v>20</v>
      </c>
      <c r="C21" s="3" t="s">
        <v>151</v>
      </c>
      <c r="D21" s="3" t="s">
        <v>152</v>
      </c>
      <c r="E21" s="3" t="s">
        <v>153</v>
      </c>
      <c r="F21" s="4" t="n">
        <v>51</v>
      </c>
      <c r="G21" s="3" t="s">
        <v>24</v>
      </c>
      <c r="H21" s="4" t="str">
        <f aca="false">IF(F21&gt;=80,"🟢🟢 GANADOR FUERTE",IF(F21&gt;=60,"🟢 GANADOR",IF(F21&gt;=40,"🟡 POTENCIAL","🔴 DESCARTAR")))</f>
        <v>🟡 POTENCIAL</v>
      </c>
      <c r="I21" s="3" t="n">
        <v>21</v>
      </c>
      <c r="J21" s="3" t="n">
        <v>17</v>
      </c>
      <c r="K21" s="3" t="s">
        <v>101</v>
      </c>
      <c r="L21" s="3" t="n">
        <v>1</v>
      </c>
      <c r="M21" s="3" t="s">
        <v>26</v>
      </c>
      <c r="N21" s="3" t="s">
        <v>27</v>
      </c>
      <c r="O21" s="3" t="s">
        <v>143</v>
      </c>
      <c r="P21" s="3" t="s">
        <v>29</v>
      </c>
      <c r="Q21" s="3" t="s">
        <v>154</v>
      </c>
      <c r="R21" s="3" t="str">
        <f aca="false">IF(OR(I21="",J21=""),"Sin dato",IF(AND(I21&gt;=20,J21&gt;15),"Sí","No"))</f>
        <v>Sí</v>
      </c>
      <c r="S21" s="3" t="n">
        <f aca="false">RANK(F21,$F$2:$F$73)</f>
        <v>40</v>
      </c>
    </row>
    <row r="22" customFormat="false" ht="34.5" hidden="false" customHeight="true" outlineLevel="0" collapsed="false">
      <c r="A22" s="3" t="s">
        <v>19</v>
      </c>
      <c r="B22" s="3" t="s">
        <v>20</v>
      </c>
      <c r="C22" s="3" t="s">
        <v>155</v>
      </c>
      <c r="D22" s="3" t="s">
        <v>156</v>
      </c>
      <c r="E22" s="3" t="s">
        <v>157</v>
      </c>
      <c r="F22" s="4" t="n">
        <v>49</v>
      </c>
      <c r="G22" s="3" t="s">
        <v>34</v>
      </c>
      <c r="H22" s="4" t="str">
        <f aca="false">IF(F22&gt;=80,"🟢🟢 GANADOR FUERTE",IF(F22&gt;=60,"🟢 GANADOR",IF(F22&gt;=40,"🟡 POTENCIAL","🔴 DESCARTAR")))</f>
        <v>🟡 POTENCIAL</v>
      </c>
      <c r="I22" s="3" t="n">
        <v>1</v>
      </c>
      <c r="J22" s="3" t="n">
        <v>15</v>
      </c>
      <c r="K22" s="3" t="s">
        <v>35</v>
      </c>
      <c r="L22" s="3" t="n">
        <v>3</v>
      </c>
      <c r="M22" s="3" t="s">
        <v>26</v>
      </c>
      <c r="N22" s="3" t="s">
        <v>158</v>
      </c>
      <c r="O22" s="3" t="s">
        <v>159</v>
      </c>
      <c r="P22" s="3" t="s">
        <v>85</v>
      </c>
      <c r="Q22" s="3" t="s">
        <v>160</v>
      </c>
      <c r="R22" s="3" t="str">
        <f aca="false">IF(OR(I22="",J22=""),"Sin dato",IF(AND(I22&gt;=20,J22&gt;15),"Sí","No"))</f>
        <v>No</v>
      </c>
      <c r="S22" s="3" t="n">
        <f aca="false">RANK(F22,$F$2:$F$73)</f>
        <v>44</v>
      </c>
    </row>
    <row r="23" customFormat="false" ht="34.5" hidden="false" customHeight="true" outlineLevel="0" collapsed="false">
      <c r="A23" s="3" t="s">
        <v>19</v>
      </c>
      <c r="B23" s="3" t="s">
        <v>20</v>
      </c>
      <c r="C23" s="3" t="s">
        <v>161</v>
      </c>
      <c r="D23" s="3" t="s">
        <v>162</v>
      </c>
      <c r="E23" s="3" t="s">
        <v>163</v>
      </c>
      <c r="F23" s="4" t="n">
        <v>48</v>
      </c>
      <c r="G23" s="3" t="s">
        <v>34</v>
      </c>
      <c r="H23" s="4" t="str">
        <f aca="false">IF(F23&gt;=80,"🟢🟢 GANADOR FUERTE",IF(F23&gt;=60,"🟢 GANADOR",IF(F23&gt;=40,"🟡 POTENCIAL","🔴 DESCARTAR")))</f>
        <v>🟡 POTENCIAL</v>
      </c>
      <c r="I23" s="3" t="n">
        <v>6</v>
      </c>
      <c r="J23" s="3" t="n">
        <v>60</v>
      </c>
      <c r="K23" s="3" t="s">
        <v>164</v>
      </c>
      <c r="L23" s="3" t="n">
        <v>1</v>
      </c>
      <c r="M23" s="3" t="s">
        <v>165</v>
      </c>
      <c r="N23" s="3" t="s">
        <v>166</v>
      </c>
      <c r="O23" s="3" t="s">
        <v>167</v>
      </c>
      <c r="P23" s="3" t="s">
        <v>85</v>
      </c>
      <c r="Q23" s="3" t="s">
        <v>168</v>
      </c>
      <c r="R23" s="3" t="str">
        <f aca="false">IF(OR(I23="",J23=""),"Sin dato",IF(AND(I23&gt;=20,J23&gt;15),"Sí","No"))</f>
        <v>No</v>
      </c>
      <c r="S23" s="3" t="n">
        <f aca="false">RANK(F23,$F$2:$F$73)</f>
        <v>45</v>
      </c>
    </row>
    <row r="24" customFormat="false" ht="34.5" hidden="false" customHeight="true" outlineLevel="0" collapsed="false">
      <c r="A24" s="3" t="s">
        <v>19</v>
      </c>
      <c r="B24" s="3" t="s">
        <v>20</v>
      </c>
      <c r="C24" s="3" t="s">
        <v>169</v>
      </c>
      <c r="D24" s="3" t="s">
        <v>170</v>
      </c>
      <c r="E24" s="3" t="s">
        <v>171</v>
      </c>
      <c r="F24" s="4" t="n">
        <v>42</v>
      </c>
      <c r="G24" s="3" t="s">
        <v>24</v>
      </c>
      <c r="H24" s="4" t="str">
        <f aca="false">IF(F24&gt;=80,"🟢🟢 GANADOR FUERTE",IF(F24&gt;=60,"🟢 GANADOR",IF(F24&gt;=40,"🟡 POTENCIAL","🔴 DESCARTAR")))</f>
        <v>🟡 POTENCIAL</v>
      </c>
      <c r="I24" s="3" t="n">
        <v>27</v>
      </c>
      <c r="J24" s="3" t="n">
        <v>6</v>
      </c>
      <c r="K24" s="3" t="s">
        <v>172</v>
      </c>
      <c r="L24" s="3" t="n">
        <v>1</v>
      </c>
      <c r="M24" s="3" t="s">
        <v>26</v>
      </c>
      <c r="N24" s="3" t="s">
        <v>27</v>
      </c>
      <c r="O24" s="3" t="s">
        <v>173</v>
      </c>
      <c r="P24" s="3" t="s">
        <v>123</v>
      </c>
      <c r="Q24" s="3" t="s">
        <v>174</v>
      </c>
      <c r="R24" s="3" t="str">
        <f aca="false">IF(OR(I24="",J24=""),"Sin dato",IF(AND(I24&gt;=20,J24&gt;15),"Sí","No"))</f>
        <v>No</v>
      </c>
      <c r="S24" s="3" t="n">
        <f aca="false">RANK(F24,$F$2:$F$73)</f>
        <v>50</v>
      </c>
    </row>
    <row r="25" customFormat="false" ht="34.5" hidden="false" customHeight="true" outlineLevel="0" collapsed="false">
      <c r="A25" s="3" t="s">
        <v>19</v>
      </c>
      <c r="B25" s="3" t="s">
        <v>20</v>
      </c>
      <c r="C25" s="3" t="s">
        <v>175</v>
      </c>
      <c r="D25" s="3" t="s">
        <v>176</v>
      </c>
      <c r="E25" s="3" t="s">
        <v>76</v>
      </c>
      <c r="F25" s="4" t="n">
        <v>41</v>
      </c>
      <c r="G25" s="3" t="s">
        <v>24</v>
      </c>
      <c r="H25" s="4" t="str">
        <f aca="false">IF(F25&gt;=80,"🟢🟢 GANADOR FUERTE",IF(F25&gt;=60,"🟢 GANADOR",IF(F25&gt;=40,"🟡 POTENCIAL","🔴 DESCARTAR")))</f>
        <v>🟡 POTENCIAL</v>
      </c>
      <c r="I25" s="3" t="n">
        <v>5</v>
      </c>
      <c r="J25" s="3" t="n">
        <v>8</v>
      </c>
      <c r="K25" s="3" t="s">
        <v>177</v>
      </c>
      <c r="L25" s="3" t="n">
        <v>4</v>
      </c>
      <c r="M25" s="3" t="s">
        <v>26</v>
      </c>
      <c r="N25" s="3" t="s">
        <v>27</v>
      </c>
      <c r="O25" s="3" t="s">
        <v>178</v>
      </c>
      <c r="P25" s="3" t="s">
        <v>123</v>
      </c>
      <c r="Q25" s="3" t="s">
        <v>179</v>
      </c>
      <c r="R25" s="3" t="str">
        <f aca="false">IF(OR(I25="",J25=""),"Sin dato",IF(AND(I25&gt;=20,J25&gt;15),"Sí","No"))</f>
        <v>No</v>
      </c>
      <c r="S25" s="3" t="n">
        <f aca="false">RANK(F25,$F$2:$F$73)</f>
        <v>52</v>
      </c>
    </row>
    <row r="26" customFormat="false" ht="34.5" hidden="false" customHeight="true" outlineLevel="0" collapsed="false">
      <c r="A26" s="3" t="s">
        <v>19</v>
      </c>
      <c r="B26" s="3" t="s">
        <v>20</v>
      </c>
      <c r="C26" s="3" t="s">
        <v>180</v>
      </c>
      <c r="D26" s="3" t="s">
        <v>181</v>
      </c>
      <c r="E26" s="3" t="s">
        <v>182</v>
      </c>
      <c r="F26" s="4" t="n">
        <v>37</v>
      </c>
      <c r="G26" s="3" t="s">
        <v>24</v>
      </c>
      <c r="H26" s="4" t="str">
        <f aca="false">IF(F26&gt;=80,"🟢🟢 GANADOR FUERTE",IF(F26&gt;=60,"🟢 GANADOR",IF(F26&gt;=40,"🟡 POTENCIAL","🔴 DESCARTAR")))</f>
        <v>🔴 DESCARTAR</v>
      </c>
      <c r="I26" s="3" t="n">
        <v>0</v>
      </c>
      <c r="J26" s="3" t="n">
        <v>6</v>
      </c>
      <c r="K26" s="3" t="s">
        <v>101</v>
      </c>
      <c r="L26" s="3" t="n">
        <v>4</v>
      </c>
      <c r="M26" s="3" t="s">
        <v>26</v>
      </c>
      <c r="N26" s="3" t="s">
        <v>27</v>
      </c>
      <c r="O26" s="3" t="s">
        <v>183</v>
      </c>
      <c r="P26" s="3" t="s">
        <v>123</v>
      </c>
      <c r="Q26" s="3" t="s">
        <v>184</v>
      </c>
      <c r="R26" s="3" t="str">
        <f aca="false">IF(OR(I26="",J26=""),"Sin dato",IF(AND(I26&gt;=20,J26&gt;15),"Sí","No"))</f>
        <v>No</v>
      </c>
      <c r="S26" s="3" t="n">
        <f aca="false">RANK(F26,$F$2:$F$73)</f>
        <v>55</v>
      </c>
    </row>
    <row r="27" customFormat="false" ht="34.5" hidden="false" customHeight="true" outlineLevel="0" collapsed="false">
      <c r="A27" s="3" t="s">
        <v>19</v>
      </c>
      <c r="B27" s="3" t="s">
        <v>20</v>
      </c>
      <c r="C27" s="3" t="s">
        <v>185</v>
      </c>
      <c r="D27" s="3" t="s">
        <v>186</v>
      </c>
      <c r="E27" s="3" t="s">
        <v>187</v>
      </c>
      <c r="F27" s="4" t="n">
        <v>36</v>
      </c>
      <c r="G27" s="3" t="s">
        <v>24</v>
      </c>
      <c r="H27" s="4" t="str">
        <f aca="false">IF(F27&gt;=80,"🟢🟢 GANADOR FUERTE",IF(F27&gt;=60,"🟢 GANADOR",IF(F27&gt;=40,"🟡 POTENCIAL","🔴 DESCARTAR")))</f>
        <v>🔴 DESCARTAR</v>
      </c>
      <c r="I27" s="3" t="n">
        <v>5</v>
      </c>
      <c r="J27" s="3" t="n">
        <v>13</v>
      </c>
      <c r="K27" s="3" t="s">
        <v>101</v>
      </c>
      <c r="L27" s="3" t="n">
        <v>1</v>
      </c>
      <c r="M27" s="3" t="s">
        <v>26</v>
      </c>
      <c r="N27" s="3" t="s">
        <v>27</v>
      </c>
      <c r="O27" s="3" t="s">
        <v>188</v>
      </c>
      <c r="P27" s="3" t="s">
        <v>123</v>
      </c>
      <c r="Q27" s="3" t="s">
        <v>189</v>
      </c>
      <c r="R27" s="3" t="str">
        <f aca="false">IF(OR(I27="",J27=""),"Sin dato",IF(AND(I27&gt;=20,J27&gt;15),"Sí","No"))</f>
        <v>No</v>
      </c>
      <c r="S27" s="3" t="n">
        <f aca="false">RANK(F27,$F$2:$F$73)</f>
        <v>56</v>
      </c>
    </row>
    <row r="28" customFormat="false" ht="34.5" hidden="false" customHeight="true" outlineLevel="0" collapsed="false">
      <c r="A28" s="3" t="s">
        <v>19</v>
      </c>
      <c r="B28" s="3" t="s">
        <v>20</v>
      </c>
      <c r="C28" s="3" t="s">
        <v>190</v>
      </c>
      <c r="D28" s="3" t="s">
        <v>191</v>
      </c>
      <c r="E28" s="3" t="s">
        <v>192</v>
      </c>
      <c r="F28" s="4" t="n">
        <v>32</v>
      </c>
      <c r="G28" s="3" t="s">
        <v>24</v>
      </c>
      <c r="H28" s="4" t="str">
        <f aca="false">IF(F28&gt;=80,"🟢🟢 GANADOR FUERTE",IF(F28&gt;=60,"🟢 GANADOR",IF(F28&gt;=40,"🟡 POTENCIAL","🔴 DESCARTAR")))</f>
        <v>🔴 DESCARTAR</v>
      </c>
      <c r="I28" s="3" t="n">
        <v>0</v>
      </c>
      <c r="J28" s="3" t="n">
        <v>3</v>
      </c>
      <c r="K28" s="3" t="s">
        <v>101</v>
      </c>
      <c r="L28" s="3" t="n">
        <v>1</v>
      </c>
      <c r="M28" s="3" t="s">
        <v>193</v>
      </c>
      <c r="N28" s="3" t="s">
        <v>27</v>
      </c>
      <c r="O28" s="3" t="s">
        <v>194</v>
      </c>
      <c r="P28" s="3" t="s">
        <v>123</v>
      </c>
      <c r="Q28" s="3" t="s">
        <v>195</v>
      </c>
      <c r="R28" s="3" t="str">
        <f aca="false">IF(OR(I28="",J28=""),"Sin dato",IF(AND(I28&gt;=20,J28&gt;15),"Sí","No"))</f>
        <v>No</v>
      </c>
      <c r="S28" s="3" t="n">
        <f aca="false">RANK(F28,$F$2:$F$73)</f>
        <v>61</v>
      </c>
    </row>
    <row r="29" customFormat="false" ht="34.5" hidden="false" customHeight="true" outlineLevel="0" collapsed="false">
      <c r="A29" s="3" t="s">
        <v>19</v>
      </c>
      <c r="B29" s="3" t="s">
        <v>20</v>
      </c>
      <c r="C29" s="3" t="s">
        <v>196</v>
      </c>
      <c r="D29" s="3" t="s">
        <v>197</v>
      </c>
      <c r="E29" s="3" t="s">
        <v>198</v>
      </c>
      <c r="F29" s="4" t="n">
        <v>31</v>
      </c>
      <c r="G29" s="3" t="s">
        <v>24</v>
      </c>
      <c r="H29" s="4" t="str">
        <f aca="false">IF(F29&gt;=80,"🟢🟢 GANADOR FUERTE",IF(F29&gt;=60,"🟢 GANADOR",IF(F29&gt;=40,"🟡 POTENCIAL","🔴 DESCARTAR")))</f>
        <v>🔴 DESCARTAR</v>
      </c>
      <c r="I29" s="3" t="n">
        <v>6</v>
      </c>
      <c r="J29" s="3" t="n">
        <v>8</v>
      </c>
      <c r="K29" s="3" t="s">
        <v>199</v>
      </c>
      <c r="L29" s="3" t="n">
        <v>1</v>
      </c>
      <c r="M29" s="3" t="s">
        <v>200</v>
      </c>
      <c r="N29" s="3" t="s">
        <v>27</v>
      </c>
      <c r="O29" s="3" t="s">
        <v>201</v>
      </c>
      <c r="P29" s="3" t="s">
        <v>123</v>
      </c>
      <c r="Q29" s="3" t="s">
        <v>202</v>
      </c>
      <c r="R29" s="3" t="str">
        <f aca="false">IF(OR(I29="",J29=""),"Sin dato",IF(AND(I29&gt;=20,J29&gt;15),"Sí","No"))</f>
        <v>No</v>
      </c>
      <c r="S29" s="3" t="n">
        <f aca="false">RANK(F29,$F$2:$F$73)</f>
        <v>63</v>
      </c>
    </row>
    <row r="30" customFormat="false" ht="34.5" hidden="false" customHeight="true" outlineLevel="0" collapsed="false">
      <c r="A30" s="3" t="s">
        <v>19</v>
      </c>
      <c r="B30" s="3" t="s">
        <v>20</v>
      </c>
      <c r="C30" s="3" t="s">
        <v>203</v>
      </c>
      <c r="D30" s="3" t="s">
        <v>204</v>
      </c>
      <c r="E30" s="3" t="s">
        <v>205</v>
      </c>
      <c r="F30" s="4" t="n">
        <v>29</v>
      </c>
      <c r="G30" s="3" t="s">
        <v>24</v>
      </c>
      <c r="H30" s="4" t="str">
        <f aca="false">IF(F30&gt;=80,"🟢🟢 GANADOR FUERTE",IF(F30&gt;=60,"🟢 GANADOR",IF(F30&gt;=40,"🟡 POTENCIAL","🔴 DESCARTAR")))</f>
        <v>🔴 DESCARTAR</v>
      </c>
      <c r="I30" s="3" t="n">
        <v>5</v>
      </c>
      <c r="J30" s="3" t="n">
        <v>3</v>
      </c>
      <c r="K30" s="3" t="s">
        <v>164</v>
      </c>
      <c r="L30" s="3" t="n">
        <v>1</v>
      </c>
      <c r="M30" s="3" t="s">
        <v>206</v>
      </c>
      <c r="N30" s="3" t="s">
        <v>27</v>
      </c>
      <c r="O30" s="3" t="s">
        <v>207</v>
      </c>
      <c r="P30" s="3" t="s">
        <v>123</v>
      </c>
      <c r="Q30" s="3" t="s">
        <v>208</v>
      </c>
      <c r="R30" s="3" t="str">
        <f aca="false">IF(OR(I30="",J30=""),"Sin dato",IF(AND(I30&gt;=20,J30&gt;15),"Sí","No"))</f>
        <v>No</v>
      </c>
      <c r="S30" s="3" t="n">
        <f aca="false">RANK(F30,$F$2:$F$73)</f>
        <v>66</v>
      </c>
    </row>
    <row r="31" customFormat="false" ht="34.5" hidden="false" customHeight="true" outlineLevel="0" collapsed="false">
      <c r="A31" s="3" t="s">
        <v>19</v>
      </c>
      <c r="B31" s="3" t="s">
        <v>20</v>
      </c>
      <c r="C31" s="3" t="s">
        <v>209</v>
      </c>
      <c r="D31" s="3" t="s">
        <v>210</v>
      </c>
      <c r="E31" s="3" t="s">
        <v>211</v>
      </c>
      <c r="F31" s="4" t="n">
        <v>29</v>
      </c>
      <c r="G31" s="3" t="s">
        <v>24</v>
      </c>
      <c r="H31" s="4" t="str">
        <f aca="false">IF(F31&gt;=80,"🟢🟢 GANADOR FUERTE",IF(F31&gt;=60,"🟢 GANADOR",IF(F31&gt;=40,"🟡 POTENCIAL","🔴 DESCARTAR")))</f>
        <v>🔴 DESCARTAR</v>
      </c>
      <c r="I31" s="3" t="n">
        <v>0</v>
      </c>
      <c r="J31" s="3" t="n">
        <v>5</v>
      </c>
      <c r="K31" s="3" t="s">
        <v>212</v>
      </c>
      <c r="L31" s="3" t="n">
        <v>1</v>
      </c>
      <c r="M31" s="3" t="s">
        <v>213</v>
      </c>
      <c r="N31" s="3" t="s">
        <v>27</v>
      </c>
      <c r="O31" s="3" t="s">
        <v>214</v>
      </c>
      <c r="P31" s="3" t="s">
        <v>123</v>
      </c>
      <c r="Q31" s="3" t="s">
        <v>215</v>
      </c>
      <c r="R31" s="3" t="str">
        <f aca="false">IF(OR(I31="",J31=""),"Sin dato",IF(AND(I31&gt;=20,J31&gt;15),"Sí","No"))</f>
        <v>No</v>
      </c>
      <c r="S31" s="3" t="n">
        <f aca="false">RANK(F31,$F$2:$F$73)</f>
        <v>66</v>
      </c>
    </row>
    <row r="32" customFormat="false" ht="23.25" hidden="false" customHeight="true" outlineLevel="0" collapsed="false">
      <c r="A32" s="3" t="s">
        <v>216</v>
      </c>
      <c r="B32" s="3" t="s">
        <v>217</v>
      </c>
      <c r="C32" s="3" t="s">
        <v>218</v>
      </c>
      <c r="D32" s="3"/>
      <c r="E32" s="3"/>
      <c r="F32" s="4" t="n">
        <v>67</v>
      </c>
      <c r="G32" s="3"/>
      <c r="H32" s="4" t="str">
        <f aca="false">IF(F32&gt;=80,"🟢🟢 GANADOR FUERTE",IF(F32&gt;=60,"🟢 GANADOR",IF(F32&gt;=40,"🟡 POTENCIAL","🔴 DESCARTAR")))</f>
        <v>🟢 GANADOR</v>
      </c>
      <c r="I32" s="3" t="n">
        <v>33</v>
      </c>
      <c r="J32" s="3" t="n">
        <v>33</v>
      </c>
      <c r="K32" s="3"/>
      <c r="L32" s="3" t="s">
        <v>219</v>
      </c>
      <c r="M32" s="3"/>
      <c r="N32" s="3"/>
      <c r="O32" s="3" t="s">
        <v>220</v>
      </c>
      <c r="P32" s="3" t="s">
        <v>221</v>
      </c>
      <c r="Q32" s="3"/>
      <c r="R32" s="3" t="str">
        <f aca="false">IF(OR(I32="",J32=""),"Sin dato",IF(AND(I32&gt;=20,J32&gt;15),"Sí","No"))</f>
        <v>Sí</v>
      </c>
      <c r="S32" s="3" t="n">
        <f aca="false">RANK(F32,$F$2:$F$73)</f>
        <v>14</v>
      </c>
    </row>
    <row r="33" customFormat="false" ht="23.25" hidden="false" customHeight="true" outlineLevel="0" collapsed="false">
      <c r="A33" s="3" t="s">
        <v>216</v>
      </c>
      <c r="B33" s="3" t="s">
        <v>217</v>
      </c>
      <c r="C33" s="3" t="s">
        <v>222</v>
      </c>
      <c r="D33" s="3"/>
      <c r="E33" s="3"/>
      <c r="F33" s="4" t="n">
        <v>66</v>
      </c>
      <c r="G33" s="3"/>
      <c r="H33" s="4" t="str">
        <f aca="false">IF(F33&gt;=80,"🟢🟢 GANADOR FUERTE",IF(F33&gt;=60,"🟢 GANADOR",IF(F33&gt;=40,"🟡 POTENCIAL","🔴 DESCARTAR")))</f>
        <v>🟢 GANADOR</v>
      </c>
      <c r="I33" s="3" t="n">
        <v>58</v>
      </c>
      <c r="J33" s="3" t="n">
        <v>25</v>
      </c>
      <c r="K33" s="3"/>
      <c r="L33" s="3" t="s">
        <v>223</v>
      </c>
      <c r="M33" s="3"/>
      <c r="N33" s="3"/>
      <c r="O33" s="3" t="s">
        <v>224</v>
      </c>
      <c r="P33" s="3" t="s">
        <v>225</v>
      </c>
      <c r="Q33" s="3"/>
      <c r="R33" s="3" t="str">
        <f aca="false">IF(OR(I33="",J33=""),"Sin dato",IF(AND(I33&gt;=20,J33&gt;15),"Sí","No"))</f>
        <v>Sí</v>
      </c>
      <c r="S33" s="3" t="n">
        <f aca="false">RANK(F33,$F$2:$F$73)</f>
        <v>15</v>
      </c>
    </row>
    <row r="34" customFormat="false" ht="15" hidden="false" customHeight="true" outlineLevel="0" collapsed="false">
      <c r="A34" s="3" t="s">
        <v>216</v>
      </c>
      <c r="B34" s="3" t="s">
        <v>217</v>
      </c>
      <c r="C34" s="3" t="s">
        <v>226</v>
      </c>
      <c r="D34" s="3"/>
      <c r="E34" s="3"/>
      <c r="F34" s="4" t="n">
        <v>66</v>
      </c>
      <c r="G34" s="3"/>
      <c r="H34" s="4" t="str">
        <f aca="false">IF(F34&gt;=80,"🟢🟢 GANADOR FUERTE",IF(F34&gt;=60,"🟢 GANADOR",IF(F34&gt;=40,"🟡 POTENCIAL","🔴 DESCARTAR")))</f>
        <v>🟢 GANADOR</v>
      </c>
      <c r="I34" s="3" t="n">
        <v>29</v>
      </c>
      <c r="J34" s="3" t="n">
        <v>73</v>
      </c>
      <c r="K34" s="3"/>
      <c r="L34" s="3" t="s">
        <v>227</v>
      </c>
      <c r="M34" s="3"/>
      <c r="N34" s="3"/>
      <c r="O34" s="3" t="s">
        <v>228</v>
      </c>
      <c r="P34" s="3" t="s">
        <v>229</v>
      </c>
      <c r="Q34" s="3"/>
      <c r="R34" s="3" t="str">
        <f aca="false">IF(OR(I34="",J34=""),"Sin dato",IF(AND(I34&gt;=20,J34&gt;15),"Sí","No"))</f>
        <v>Sí</v>
      </c>
      <c r="S34" s="3" t="n">
        <f aca="false">RANK(F34,$F$2:$F$73)</f>
        <v>15</v>
      </c>
    </row>
    <row r="35" customFormat="false" ht="23.25" hidden="false" customHeight="true" outlineLevel="0" collapsed="false">
      <c r="A35" s="3" t="s">
        <v>216</v>
      </c>
      <c r="B35" s="3" t="s">
        <v>217</v>
      </c>
      <c r="C35" s="3" t="s">
        <v>230</v>
      </c>
      <c r="D35" s="3"/>
      <c r="E35" s="3"/>
      <c r="F35" s="4" t="n">
        <v>70</v>
      </c>
      <c r="G35" s="3"/>
      <c r="H35" s="4" t="str">
        <f aca="false">IF(F35&gt;=80,"🟢🟢 GANADOR FUERTE",IF(F35&gt;=60,"🟢 GANADOR",IF(F35&gt;=40,"🟡 POTENCIAL","🔴 DESCARTAR")))</f>
        <v>🟢 GANADOR</v>
      </c>
      <c r="I35" s="3" t="n">
        <v>8</v>
      </c>
      <c r="J35" s="3" t="n">
        <v>411</v>
      </c>
      <c r="K35" s="3"/>
      <c r="L35" s="3" t="s">
        <v>231</v>
      </c>
      <c r="M35" s="3"/>
      <c r="N35" s="3"/>
      <c r="O35" s="3" t="s">
        <v>232</v>
      </c>
      <c r="P35" s="3" t="s">
        <v>233</v>
      </c>
      <c r="Q35" s="3"/>
      <c r="R35" s="3" t="str">
        <f aca="false">IF(OR(I35="",J35=""),"Sin dato",IF(AND(I35&gt;=20,J35&gt;15),"Sí","No"))</f>
        <v>No</v>
      </c>
      <c r="S35" s="3" t="n">
        <f aca="false">RANK(F35,$F$2:$F$73)</f>
        <v>11</v>
      </c>
    </row>
    <row r="36" customFormat="false" ht="15" hidden="false" customHeight="true" outlineLevel="0" collapsed="false">
      <c r="A36" s="3" t="s">
        <v>216</v>
      </c>
      <c r="B36" s="3" t="s">
        <v>217</v>
      </c>
      <c r="C36" s="3" t="s">
        <v>234</v>
      </c>
      <c r="D36" s="3"/>
      <c r="E36" s="3"/>
      <c r="F36" s="4" t="n">
        <v>63</v>
      </c>
      <c r="G36" s="3"/>
      <c r="H36" s="4" t="str">
        <f aca="false">IF(F36&gt;=80,"🟢🟢 GANADOR FUERTE",IF(F36&gt;=60,"🟢 GANADOR",IF(F36&gt;=40,"🟡 POTENCIAL","🔴 DESCARTAR")))</f>
        <v>🟢 GANADOR</v>
      </c>
      <c r="I36" s="3" t="n">
        <v>38.7</v>
      </c>
      <c r="J36" s="3" t="n">
        <v>62</v>
      </c>
      <c r="K36" s="3"/>
      <c r="L36" s="3" t="s">
        <v>219</v>
      </c>
      <c r="M36" s="3"/>
      <c r="N36" s="3"/>
      <c r="O36" s="3" t="s">
        <v>235</v>
      </c>
      <c r="P36" s="3" t="s">
        <v>236</v>
      </c>
      <c r="Q36" s="3"/>
      <c r="R36" s="3" t="str">
        <f aca="false">IF(OR(I36="",J36=""),"Sin dato",IF(AND(I36&gt;=20,J36&gt;15),"Sí","No"))</f>
        <v>Sí</v>
      </c>
      <c r="S36" s="3" t="n">
        <f aca="false">RANK(F36,$F$2:$F$73)</f>
        <v>24</v>
      </c>
    </row>
    <row r="37" customFormat="false" ht="23.25" hidden="false" customHeight="true" outlineLevel="0" collapsed="false">
      <c r="A37" s="3" t="s">
        <v>216</v>
      </c>
      <c r="B37" s="3" t="s">
        <v>217</v>
      </c>
      <c r="C37" s="3" t="s">
        <v>237</v>
      </c>
      <c r="D37" s="3"/>
      <c r="E37" s="3"/>
      <c r="F37" s="4" t="n">
        <v>64</v>
      </c>
      <c r="G37" s="3"/>
      <c r="H37" s="4" t="str">
        <f aca="false">IF(F37&gt;=80,"🟢🟢 GANADOR FUERTE",IF(F37&gt;=60,"🟢 GANADOR",IF(F37&gt;=40,"🟡 POTENCIAL","🔴 DESCARTAR")))</f>
        <v>🟢 GANADOR</v>
      </c>
      <c r="I37" s="3" t="n">
        <v>32</v>
      </c>
      <c r="J37" s="3" t="n">
        <v>140</v>
      </c>
      <c r="K37" s="3"/>
      <c r="L37" s="3" t="s">
        <v>238</v>
      </c>
      <c r="M37" s="3"/>
      <c r="N37" s="3"/>
      <c r="O37" s="3" t="s">
        <v>239</v>
      </c>
      <c r="P37" s="3" t="s">
        <v>240</v>
      </c>
      <c r="Q37" s="3"/>
      <c r="R37" s="3" t="str">
        <f aca="false">IF(OR(I37="",J37=""),"Sin dato",IF(AND(I37&gt;=20,J37&gt;15),"Sí","No"))</f>
        <v>Sí</v>
      </c>
      <c r="S37" s="3" t="n">
        <f aca="false">RANK(F37,$F$2:$F$73)</f>
        <v>20</v>
      </c>
    </row>
    <row r="38" customFormat="false" ht="15" hidden="false" customHeight="true" outlineLevel="0" collapsed="false">
      <c r="A38" s="3" t="s">
        <v>216</v>
      </c>
      <c r="B38" s="3" t="s">
        <v>217</v>
      </c>
      <c r="C38" s="3" t="s">
        <v>241</v>
      </c>
      <c r="D38" s="3"/>
      <c r="E38" s="3"/>
      <c r="F38" s="4" t="n">
        <v>58</v>
      </c>
      <c r="G38" s="3"/>
      <c r="H38" s="4" t="str">
        <f aca="false">IF(F38&gt;=80,"🟢🟢 GANADOR FUERTE",IF(F38&gt;=60,"🟢 GANADOR",IF(F38&gt;=40,"🟡 POTENCIAL","🔴 DESCARTAR")))</f>
        <v>🟡 POTENCIAL</v>
      </c>
      <c r="I38" s="3" t="n">
        <v>11.5</v>
      </c>
      <c r="J38" s="3" t="n">
        <v>145</v>
      </c>
      <c r="K38" s="3"/>
      <c r="L38" s="3" t="s">
        <v>242</v>
      </c>
      <c r="M38" s="3"/>
      <c r="N38" s="3"/>
      <c r="O38" s="3" t="s">
        <v>235</v>
      </c>
      <c r="P38" s="3" t="s">
        <v>243</v>
      </c>
      <c r="Q38" s="3"/>
      <c r="R38" s="3" t="str">
        <f aca="false">IF(OR(I38="",J38=""),"Sin dato",IF(AND(I38&gt;=20,J38&gt;15),"Sí","No"))</f>
        <v>No</v>
      </c>
      <c r="S38" s="3" t="n">
        <f aca="false">RANK(F38,$F$2:$F$73)</f>
        <v>30</v>
      </c>
    </row>
    <row r="39" customFormat="false" ht="15" hidden="false" customHeight="true" outlineLevel="0" collapsed="false">
      <c r="A39" s="3" t="s">
        <v>216</v>
      </c>
      <c r="B39" s="3" t="s">
        <v>217</v>
      </c>
      <c r="C39" s="3" t="s">
        <v>244</v>
      </c>
      <c r="D39" s="3"/>
      <c r="E39" s="3"/>
      <c r="F39" s="4" t="n">
        <v>63</v>
      </c>
      <c r="G39" s="3"/>
      <c r="H39" s="4" t="str">
        <f aca="false">IF(F39&gt;=80,"🟢🟢 GANADOR FUERTE",IF(F39&gt;=60,"🟢 GANADOR",IF(F39&gt;=40,"🟡 POTENCIAL","🔴 DESCARTAR")))</f>
        <v>🟢 GANADOR</v>
      </c>
      <c r="I39" s="3" t="n">
        <v>21</v>
      </c>
      <c r="J39" s="3" t="n">
        <v>54</v>
      </c>
      <c r="K39" s="3"/>
      <c r="L39" s="3" t="s">
        <v>223</v>
      </c>
      <c r="M39" s="3"/>
      <c r="N39" s="3"/>
      <c r="O39" s="3" t="s">
        <v>235</v>
      </c>
      <c r="P39" s="3"/>
      <c r="Q39" s="3"/>
      <c r="R39" s="3" t="str">
        <f aca="false">IF(OR(I39="",J39=""),"Sin dato",IF(AND(I39&gt;=20,J39&gt;15),"Sí","No"))</f>
        <v>Sí</v>
      </c>
      <c r="S39" s="3" t="n">
        <f aca="false">RANK(F39,$F$2:$F$73)</f>
        <v>24</v>
      </c>
    </row>
    <row r="40" customFormat="false" ht="15" hidden="false" customHeight="true" outlineLevel="0" collapsed="false">
      <c r="A40" s="3" t="s">
        <v>216</v>
      </c>
      <c r="B40" s="3" t="s">
        <v>217</v>
      </c>
      <c r="C40" s="3" t="s">
        <v>245</v>
      </c>
      <c r="D40" s="3"/>
      <c r="E40" s="3"/>
      <c r="F40" s="4" t="n">
        <v>63</v>
      </c>
      <c r="G40" s="3"/>
      <c r="H40" s="4" t="str">
        <f aca="false">IF(F40&gt;=80,"🟢🟢 GANADOR FUERTE",IF(F40&gt;=60,"🟢 GANADOR",IF(F40&gt;=40,"🟡 POTENCIAL","🔴 DESCARTAR")))</f>
        <v>🟢 GANADOR</v>
      </c>
      <c r="I40" s="3" t="n">
        <v>17</v>
      </c>
      <c r="J40" s="3" t="n">
        <v>29</v>
      </c>
      <c r="K40" s="3"/>
      <c r="L40" s="3" t="s">
        <v>223</v>
      </c>
      <c r="M40" s="3"/>
      <c r="N40" s="3"/>
      <c r="O40" s="3" t="s">
        <v>246</v>
      </c>
      <c r="P40" s="3"/>
      <c r="Q40" s="3"/>
      <c r="R40" s="3" t="str">
        <f aca="false">IF(OR(I40="",J40=""),"Sin dato",IF(AND(I40&gt;=20,J40&gt;15),"Sí","No"))</f>
        <v>No</v>
      </c>
      <c r="S40" s="3" t="n">
        <f aca="false">RANK(F40,$F$2:$F$73)</f>
        <v>24</v>
      </c>
    </row>
    <row r="41" customFormat="false" ht="23.25" hidden="false" customHeight="true" outlineLevel="0" collapsed="false">
      <c r="A41" s="3" t="s">
        <v>216</v>
      </c>
      <c r="B41" s="3" t="s">
        <v>217</v>
      </c>
      <c r="C41" s="3" t="s">
        <v>247</v>
      </c>
      <c r="D41" s="3"/>
      <c r="E41" s="3"/>
      <c r="F41" s="4" t="n">
        <v>61</v>
      </c>
      <c r="G41" s="3"/>
      <c r="H41" s="4" t="str">
        <f aca="false">IF(F41&gt;=80,"🟢🟢 GANADOR FUERTE",IF(F41&gt;=60,"🟢 GANADOR",IF(F41&gt;=40,"🟡 POTENCIAL","🔴 DESCARTAR")))</f>
        <v>🟢 GANADOR</v>
      </c>
      <c r="I41" s="3" t="n">
        <v>10</v>
      </c>
      <c r="J41" s="3" t="n">
        <v>68</v>
      </c>
      <c r="K41" s="3"/>
      <c r="L41" s="3" t="s">
        <v>238</v>
      </c>
      <c r="M41" s="3"/>
      <c r="N41" s="3"/>
      <c r="O41" s="3" t="s">
        <v>248</v>
      </c>
      <c r="P41" s="3" t="s">
        <v>249</v>
      </c>
      <c r="Q41" s="3"/>
      <c r="R41" s="3" t="str">
        <f aca="false">IF(OR(I41="",J41=""),"Sin dato",IF(AND(I41&gt;=20,J41&gt;15),"Sí","No"))</f>
        <v>No</v>
      </c>
      <c r="S41" s="3" t="n">
        <f aca="false">RANK(F41,$F$2:$F$73)</f>
        <v>28</v>
      </c>
    </row>
    <row r="42" customFormat="false" ht="15" hidden="false" customHeight="true" outlineLevel="0" collapsed="false">
      <c r="A42" s="3" t="s">
        <v>216</v>
      </c>
      <c r="B42" s="3" t="s">
        <v>217</v>
      </c>
      <c r="C42" s="3" t="s">
        <v>250</v>
      </c>
      <c r="D42" s="3"/>
      <c r="E42" s="3"/>
      <c r="F42" s="4" t="n">
        <v>55</v>
      </c>
      <c r="G42" s="3"/>
      <c r="H42" s="4" t="str">
        <f aca="false">IF(F42&gt;=80,"🟢🟢 GANADOR FUERTE",IF(F42&gt;=60,"🟢 GANADOR",IF(F42&gt;=40,"🟡 POTENCIAL","🔴 DESCARTAR")))</f>
        <v>🟡 POTENCIAL</v>
      </c>
      <c r="I42" s="3" t="n">
        <v>6.3</v>
      </c>
      <c r="J42" s="3" t="n">
        <v>108</v>
      </c>
      <c r="K42" s="3"/>
      <c r="L42" s="3" t="s">
        <v>251</v>
      </c>
      <c r="M42" s="3"/>
      <c r="N42" s="3"/>
      <c r="O42" s="3" t="s">
        <v>252</v>
      </c>
      <c r="P42" s="3" t="s">
        <v>253</v>
      </c>
      <c r="Q42" s="3"/>
      <c r="R42" s="3" t="str">
        <f aca="false">IF(OR(I42="",J42=""),"Sin dato",IF(AND(I42&gt;=20,J42&gt;15),"Sí","No"))</f>
        <v>No</v>
      </c>
      <c r="S42" s="3" t="n">
        <f aca="false">RANK(F42,$F$2:$F$73)</f>
        <v>34</v>
      </c>
    </row>
    <row r="43" customFormat="false" ht="15" hidden="false" customHeight="true" outlineLevel="0" collapsed="false">
      <c r="A43" s="3" t="s">
        <v>216</v>
      </c>
      <c r="B43" s="3" t="s">
        <v>217</v>
      </c>
      <c r="C43" s="3" t="s">
        <v>254</v>
      </c>
      <c r="D43" s="3"/>
      <c r="E43" s="3"/>
      <c r="F43" s="4" t="n">
        <v>57</v>
      </c>
      <c r="G43" s="3"/>
      <c r="H43" s="4" t="str">
        <f aca="false">IF(F43&gt;=80,"🟢🟢 GANADOR FUERTE",IF(F43&gt;=60,"🟢 GANADOR",IF(F43&gt;=40,"🟡 POTENCIAL","🔴 DESCARTAR")))</f>
        <v>🟡 POTENCIAL</v>
      </c>
      <c r="I43" s="3" t="n">
        <v>3.2</v>
      </c>
      <c r="J43" s="3" t="n">
        <v>181</v>
      </c>
      <c r="K43" s="3"/>
      <c r="L43" s="3" t="s">
        <v>255</v>
      </c>
      <c r="M43" s="3"/>
      <c r="N43" s="3"/>
      <c r="O43" s="3"/>
      <c r="P43" s="3" t="s">
        <v>256</v>
      </c>
      <c r="Q43" s="3"/>
      <c r="R43" s="3" t="str">
        <f aca="false">IF(OR(I43="",J43=""),"Sin dato",IF(AND(I43&gt;=20,J43&gt;15),"Sí","No"))</f>
        <v>No</v>
      </c>
      <c r="S43" s="3" t="n">
        <f aca="false">RANK(F43,$F$2:$F$73)</f>
        <v>31</v>
      </c>
    </row>
    <row r="44" customFormat="false" ht="15" hidden="false" customHeight="true" outlineLevel="0" collapsed="false">
      <c r="A44" s="3" t="s">
        <v>216</v>
      </c>
      <c r="B44" s="3" t="s">
        <v>217</v>
      </c>
      <c r="C44" s="3" t="s">
        <v>257</v>
      </c>
      <c r="D44" s="3"/>
      <c r="E44" s="3"/>
      <c r="F44" s="4" t="n">
        <v>53</v>
      </c>
      <c r="G44" s="3"/>
      <c r="H44" s="4" t="str">
        <f aca="false">IF(F44&gt;=80,"🟢🟢 GANADOR FUERTE",IF(F44&gt;=60,"🟢 GANADOR",IF(F44&gt;=40,"🟡 POTENCIAL","🔴 DESCARTAR")))</f>
        <v>🟡 POTENCIAL</v>
      </c>
      <c r="I44" s="3" t="n">
        <v>167</v>
      </c>
      <c r="J44" s="3" t="n">
        <v>16</v>
      </c>
      <c r="K44" s="3"/>
      <c r="L44" s="3" t="s">
        <v>258</v>
      </c>
      <c r="M44" s="3"/>
      <c r="N44" s="3"/>
      <c r="O44" s="3" t="s">
        <v>259</v>
      </c>
      <c r="P44" s="3" t="s">
        <v>260</v>
      </c>
      <c r="Q44" s="3"/>
      <c r="R44" s="3" t="str">
        <f aca="false">IF(OR(I44="",J44=""),"Sin dato",IF(AND(I44&gt;=20,J44&gt;15),"Sí","No"))</f>
        <v>Sí</v>
      </c>
      <c r="S44" s="3" t="n">
        <f aca="false">RANK(F44,$F$2:$F$73)</f>
        <v>37</v>
      </c>
    </row>
    <row r="45" customFormat="false" ht="15" hidden="false" customHeight="true" outlineLevel="0" collapsed="false">
      <c r="A45" s="3" t="s">
        <v>216</v>
      </c>
      <c r="B45" s="3" t="s">
        <v>217</v>
      </c>
      <c r="C45" s="3" t="s">
        <v>261</v>
      </c>
      <c r="D45" s="3"/>
      <c r="E45" s="3"/>
      <c r="F45" s="4" t="n">
        <v>51</v>
      </c>
      <c r="G45" s="3"/>
      <c r="H45" s="4" t="str">
        <f aca="false">IF(F45&gt;=80,"🟢🟢 GANADOR FUERTE",IF(F45&gt;=60,"🟢 GANADOR",IF(F45&gt;=40,"🟡 POTENCIAL","🔴 DESCARTAR")))</f>
        <v>🟡 POTENCIAL</v>
      </c>
      <c r="I45" s="3" t="n">
        <v>49.5</v>
      </c>
      <c r="J45" s="3" t="n">
        <v>20</v>
      </c>
      <c r="K45" s="3"/>
      <c r="L45" s="3"/>
      <c r="M45" s="3"/>
      <c r="N45" s="3"/>
      <c r="O45" s="3"/>
      <c r="P45" s="3" t="s">
        <v>262</v>
      </c>
      <c r="Q45" s="3"/>
      <c r="R45" s="3" t="str">
        <f aca="false">IF(OR(I45="",J45=""),"Sin dato",IF(AND(I45&gt;=20,J45&gt;15),"Sí","No"))</f>
        <v>Sí</v>
      </c>
      <c r="S45" s="3" t="n">
        <f aca="false">RANK(F45,$F$2:$F$73)</f>
        <v>40</v>
      </c>
    </row>
    <row r="46" customFormat="false" ht="15" hidden="false" customHeight="true" outlineLevel="0" collapsed="false">
      <c r="A46" s="3" t="s">
        <v>216</v>
      </c>
      <c r="B46" s="3" t="s">
        <v>217</v>
      </c>
      <c r="C46" s="3" t="s">
        <v>263</v>
      </c>
      <c r="D46" s="3"/>
      <c r="E46" s="3"/>
      <c r="F46" s="4" t="n">
        <v>59</v>
      </c>
      <c r="G46" s="3"/>
      <c r="H46" s="4" t="str">
        <f aca="false">IF(F46&gt;=80,"🟢🟢 GANADOR FUERTE",IF(F46&gt;=60,"🟢 GANADOR",IF(F46&gt;=40,"🟡 POTENCIAL","🔴 DESCARTAR")))</f>
        <v>🟡 POTENCIAL</v>
      </c>
      <c r="I46" s="3"/>
      <c r="J46" s="3"/>
      <c r="K46" s="3"/>
      <c r="L46" s="3"/>
      <c r="M46" s="3"/>
      <c r="N46" s="3"/>
      <c r="O46" s="3"/>
      <c r="P46" s="3" t="s">
        <v>264</v>
      </c>
      <c r="Q46" s="3"/>
      <c r="R46" s="3" t="str">
        <f aca="false">IF(OR(I46="",J46=""),"Sin dato",IF(AND(I46&gt;=20,J46&gt;15),"Sí","No"))</f>
        <v>Sin dato</v>
      </c>
      <c r="S46" s="3" t="n">
        <f aca="false">RANK(F46,$F$2:$F$73)</f>
        <v>29</v>
      </c>
    </row>
    <row r="47" customFormat="false" ht="15" hidden="false" customHeight="true" outlineLevel="0" collapsed="false">
      <c r="A47" s="3" t="s">
        <v>216</v>
      </c>
      <c r="B47" s="3" t="s">
        <v>217</v>
      </c>
      <c r="C47" s="3" t="s">
        <v>265</v>
      </c>
      <c r="D47" s="3"/>
      <c r="E47" s="3"/>
      <c r="F47" s="4" t="n">
        <v>57</v>
      </c>
      <c r="G47" s="3"/>
      <c r="H47" s="4" t="str">
        <f aca="false">IF(F47&gt;=80,"🟢🟢 GANADOR FUERTE",IF(F47&gt;=60,"🟢 GANADOR",IF(F47&gt;=40,"🟡 POTENCIAL","🔴 DESCARTAR")))</f>
        <v>🟡 POTENCIAL</v>
      </c>
      <c r="I47" s="3"/>
      <c r="J47" s="3"/>
      <c r="K47" s="3"/>
      <c r="L47" s="3"/>
      <c r="M47" s="3"/>
      <c r="N47" s="3"/>
      <c r="O47" s="3"/>
      <c r="P47" s="3" t="s">
        <v>264</v>
      </c>
      <c r="Q47" s="3"/>
      <c r="R47" s="3" t="str">
        <f aca="false">IF(OR(I47="",J47=""),"Sin dato",IF(AND(I47&gt;=20,J47&gt;15),"Sí","No"))</f>
        <v>Sin dato</v>
      </c>
      <c r="S47" s="3" t="n">
        <f aca="false">RANK(F47,$F$2:$F$73)</f>
        <v>31</v>
      </c>
    </row>
    <row r="48" customFormat="false" ht="15" hidden="false" customHeight="true" outlineLevel="0" collapsed="false">
      <c r="A48" s="3" t="s">
        <v>216</v>
      </c>
      <c r="B48" s="3" t="s">
        <v>217</v>
      </c>
      <c r="C48" s="3" t="s">
        <v>266</v>
      </c>
      <c r="D48" s="3"/>
      <c r="E48" s="3"/>
      <c r="F48" s="4" t="n">
        <v>55</v>
      </c>
      <c r="G48" s="3"/>
      <c r="H48" s="4" t="str">
        <f aca="false">IF(F48&gt;=80,"🟢🟢 GANADOR FUERTE",IF(F48&gt;=60,"🟢 GANADOR",IF(F48&gt;=40,"🟡 POTENCIAL","🔴 DESCARTAR")))</f>
        <v>🟡 POTENCIAL</v>
      </c>
      <c r="I48" s="3"/>
      <c r="J48" s="3"/>
      <c r="K48" s="3"/>
      <c r="L48" s="3"/>
      <c r="M48" s="3"/>
      <c r="N48" s="3"/>
      <c r="O48" s="3"/>
      <c r="P48" s="3" t="s">
        <v>264</v>
      </c>
      <c r="Q48" s="3"/>
      <c r="R48" s="3" t="str">
        <f aca="false">IF(OR(I48="",J48=""),"Sin dato",IF(AND(I48&gt;=20,J48&gt;15),"Sí","No"))</f>
        <v>Sin dato</v>
      </c>
      <c r="S48" s="3" t="n">
        <f aca="false">RANK(F48,$F$2:$F$73)</f>
        <v>34</v>
      </c>
    </row>
    <row r="49" customFormat="false" ht="15" hidden="false" customHeight="true" outlineLevel="0" collapsed="false">
      <c r="A49" s="3" t="s">
        <v>216</v>
      </c>
      <c r="B49" s="3" t="s">
        <v>217</v>
      </c>
      <c r="C49" s="3" t="s">
        <v>267</v>
      </c>
      <c r="D49" s="3"/>
      <c r="E49" s="3"/>
      <c r="F49" s="4" t="n">
        <v>53</v>
      </c>
      <c r="G49" s="3"/>
      <c r="H49" s="4" t="str">
        <f aca="false">IF(F49&gt;=80,"🟢🟢 GANADOR FUERTE",IF(F49&gt;=60,"🟢 GANADOR",IF(F49&gt;=40,"🟡 POTENCIAL","🔴 DESCARTAR")))</f>
        <v>🟡 POTENCIAL</v>
      </c>
      <c r="I49" s="3"/>
      <c r="J49" s="3"/>
      <c r="K49" s="3"/>
      <c r="L49" s="3"/>
      <c r="M49" s="3"/>
      <c r="N49" s="3"/>
      <c r="O49" s="3"/>
      <c r="P49" s="3" t="s">
        <v>264</v>
      </c>
      <c r="Q49" s="3"/>
      <c r="R49" s="3" t="str">
        <f aca="false">IF(OR(I49="",J49=""),"Sin dato",IF(AND(I49&gt;=20,J49&gt;15),"Sí","No"))</f>
        <v>Sin dato</v>
      </c>
      <c r="S49" s="3" t="n">
        <f aca="false">RANK(F49,$F$2:$F$73)</f>
        <v>37</v>
      </c>
    </row>
    <row r="50" customFormat="false" ht="15" hidden="false" customHeight="true" outlineLevel="0" collapsed="false">
      <c r="A50" s="3" t="s">
        <v>216</v>
      </c>
      <c r="B50" s="3" t="s">
        <v>217</v>
      </c>
      <c r="C50" s="3" t="s">
        <v>268</v>
      </c>
      <c r="D50" s="3"/>
      <c r="E50" s="3"/>
      <c r="F50" s="4" t="n">
        <v>53</v>
      </c>
      <c r="G50" s="3"/>
      <c r="H50" s="4" t="str">
        <f aca="false">IF(F50&gt;=80,"🟢🟢 GANADOR FUERTE",IF(F50&gt;=60,"🟢 GANADOR",IF(F50&gt;=40,"🟡 POTENCIAL","🔴 DESCARTAR")))</f>
        <v>🟡 POTENCIAL</v>
      </c>
      <c r="I50" s="3"/>
      <c r="J50" s="3"/>
      <c r="K50" s="3"/>
      <c r="L50" s="3"/>
      <c r="M50" s="3"/>
      <c r="N50" s="3"/>
      <c r="O50" s="3"/>
      <c r="P50" s="3" t="s">
        <v>264</v>
      </c>
      <c r="Q50" s="3"/>
      <c r="R50" s="3" t="str">
        <f aca="false">IF(OR(I50="",J50=""),"Sin dato",IF(AND(I50&gt;=20,J50&gt;15),"Sí","No"))</f>
        <v>Sin dato</v>
      </c>
      <c r="S50" s="3" t="n">
        <f aca="false">RANK(F50,$F$2:$F$73)</f>
        <v>37</v>
      </c>
    </row>
    <row r="51" customFormat="false" ht="15" hidden="false" customHeight="true" outlineLevel="0" collapsed="false">
      <c r="A51" s="3" t="s">
        <v>216</v>
      </c>
      <c r="B51" s="3" t="s">
        <v>217</v>
      </c>
      <c r="C51" s="3" t="s">
        <v>269</v>
      </c>
      <c r="D51" s="3"/>
      <c r="E51" s="3"/>
      <c r="F51" s="4" t="n">
        <v>48</v>
      </c>
      <c r="G51" s="3"/>
      <c r="H51" s="4" t="str">
        <f aca="false">IF(F51&gt;=80,"🟢🟢 GANADOR FUERTE",IF(F51&gt;=60,"🟢 GANADOR",IF(F51&gt;=40,"🟡 POTENCIAL","🔴 DESCARTAR")))</f>
        <v>🟡 POTENCIAL</v>
      </c>
      <c r="I51" s="3"/>
      <c r="J51" s="3"/>
      <c r="K51" s="3"/>
      <c r="L51" s="3"/>
      <c r="M51" s="3"/>
      <c r="N51" s="3"/>
      <c r="O51" s="3"/>
      <c r="P51" s="3" t="s">
        <v>264</v>
      </c>
      <c r="Q51" s="3"/>
      <c r="R51" s="3" t="str">
        <f aca="false">IF(OR(I51="",J51=""),"Sin dato",IF(AND(I51&gt;=20,J51&gt;15),"Sí","No"))</f>
        <v>Sin dato</v>
      </c>
      <c r="S51" s="3" t="n">
        <f aca="false">RANK(F51,$F$2:$F$73)</f>
        <v>45</v>
      </c>
    </row>
    <row r="52" customFormat="false" ht="15" hidden="false" customHeight="true" outlineLevel="0" collapsed="false">
      <c r="A52" s="3" t="s">
        <v>216</v>
      </c>
      <c r="B52" s="3" t="s">
        <v>217</v>
      </c>
      <c r="C52" s="3" t="s">
        <v>270</v>
      </c>
      <c r="D52" s="3"/>
      <c r="E52" s="3"/>
      <c r="F52" s="4" t="n">
        <v>48</v>
      </c>
      <c r="G52" s="3"/>
      <c r="H52" s="4" t="str">
        <f aca="false">IF(F52&gt;=80,"🟢🟢 GANADOR FUERTE",IF(F52&gt;=60,"🟢 GANADOR",IF(F52&gt;=40,"🟡 POTENCIAL","🔴 DESCARTAR")))</f>
        <v>🟡 POTENCIAL</v>
      </c>
      <c r="I52" s="3"/>
      <c r="J52" s="3"/>
      <c r="K52" s="3"/>
      <c r="L52" s="3"/>
      <c r="M52" s="3"/>
      <c r="N52" s="3"/>
      <c r="O52" s="3"/>
      <c r="P52" s="3" t="s">
        <v>264</v>
      </c>
      <c r="Q52" s="3"/>
      <c r="R52" s="3" t="str">
        <f aca="false">IF(OR(I52="",J52=""),"Sin dato",IF(AND(I52&gt;=20,J52&gt;15),"Sí","No"))</f>
        <v>Sin dato</v>
      </c>
      <c r="S52" s="3" t="n">
        <f aca="false">RANK(F52,$F$2:$F$73)</f>
        <v>45</v>
      </c>
    </row>
    <row r="53" customFormat="false" ht="15" hidden="false" customHeight="true" outlineLevel="0" collapsed="false">
      <c r="A53" s="3" t="s">
        <v>216</v>
      </c>
      <c r="B53" s="3" t="s">
        <v>217</v>
      </c>
      <c r="C53" s="3" t="s">
        <v>271</v>
      </c>
      <c r="D53" s="3"/>
      <c r="E53" s="3"/>
      <c r="F53" s="4" t="n">
        <v>48</v>
      </c>
      <c r="G53" s="3"/>
      <c r="H53" s="4" t="str">
        <f aca="false">IF(F53&gt;=80,"🟢🟢 GANADOR FUERTE",IF(F53&gt;=60,"🟢 GANADOR",IF(F53&gt;=40,"🟡 POTENCIAL","🔴 DESCARTAR")))</f>
        <v>🟡 POTENCIAL</v>
      </c>
      <c r="I53" s="3"/>
      <c r="J53" s="3"/>
      <c r="K53" s="3"/>
      <c r="L53" s="3"/>
      <c r="M53" s="3"/>
      <c r="N53" s="3"/>
      <c r="O53" s="3"/>
      <c r="P53" s="3" t="s">
        <v>264</v>
      </c>
      <c r="Q53" s="3"/>
      <c r="R53" s="3" t="str">
        <f aca="false">IF(OR(I53="",J53=""),"Sin dato",IF(AND(I53&gt;=20,J53&gt;15),"Sí","No"))</f>
        <v>Sin dato</v>
      </c>
      <c r="S53" s="3" t="n">
        <f aca="false">RANK(F53,$F$2:$F$73)</f>
        <v>45</v>
      </c>
    </row>
    <row r="54" customFormat="false" ht="15" hidden="false" customHeight="true" outlineLevel="0" collapsed="false">
      <c r="A54" s="3" t="s">
        <v>216</v>
      </c>
      <c r="B54" s="3" t="s">
        <v>217</v>
      </c>
      <c r="C54" s="3" t="s">
        <v>272</v>
      </c>
      <c r="D54" s="3"/>
      <c r="E54" s="3"/>
      <c r="F54" s="4" t="n">
        <v>47</v>
      </c>
      <c r="G54" s="3"/>
      <c r="H54" s="4" t="str">
        <f aca="false">IF(F54&gt;=80,"🟢🟢 GANADOR FUERTE",IF(F54&gt;=60,"🟢 GANADOR",IF(F54&gt;=40,"🟡 POTENCIAL","🔴 DESCARTAR")))</f>
        <v>🟡 POTENCIAL</v>
      </c>
      <c r="I54" s="3"/>
      <c r="J54" s="3"/>
      <c r="K54" s="3"/>
      <c r="L54" s="3"/>
      <c r="M54" s="3"/>
      <c r="N54" s="3"/>
      <c r="O54" s="3"/>
      <c r="P54" s="3" t="s">
        <v>264</v>
      </c>
      <c r="Q54" s="3"/>
      <c r="R54" s="3" t="str">
        <f aca="false">IF(OR(I54="",J54=""),"Sin dato",IF(AND(I54&gt;=20,J54&gt;15),"Sí","No"))</f>
        <v>Sin dato</v>
      </c>
      <c r="S54" s="3" t="n">
        <f aca="false">RANK(F54,$F$2:$F$73)</f>
        <v>49</v>
      </c>
    </row>
    <row r="55" customFormat="false" ht="15" hidden="false" customHeight="true" outlineLevel="0" collapsed="false">
      <c r="A55" s="3" t="s">
        <v>216</v>
      </c>
      <c r="B55" s="3" t="s">
        <v>217</v>
      </c>
      <c r="C55" s="3" t="s">
        <v>273</v>
      </c>
      <c r="D55" s="3"/>
      <c r="E55" s="3"/>
      <c r="F55" s="4" t="n">
        <v>42</v>
      </c>
      <c r="G55" s="3"/>
      <c r="H55" s="4" t="str">
        <f aca="false">IF(F55&gt;=80,"🟢🟢 GANADOR FUERTE",IF(F55&gt;=60,"🟢 GANADOR",IF(F55&gt;=40,"🟡 POTENCIAL","🔴 DESCARTAR")))</f>
        <v>🟡 POTENCIAL</v>
      </c>
      <c r="I55" s="3"/>
      <c r="J55" s="3"/>
      <c r="K55" s="3"/>
      <c r="L55" s="3"/>
      <c r="M55" s="3"/>
      <c r="N55" s="3"/>
      <c r="O55" s="3"/>
      <c r="P55" s="3" t="s">
        <v>264</v>
      </c>
      <c r="Q55" s="3"/>
      <c r="R55" s="3" t="str">
        <f aca="false">IF(OR(I55="",J55=""),"Sin dato",IF(AND(I55&gt;=20,J55&gt;15),"Sí","No"))</f>
        <v>Sin dato</v>
      </c>
      <c r="S55" s="3" t="n">
        <f aca="false">RANK(F55,$F$2:$F$73)</f>
        <v>50</v>
      </c>
    </row>
    <row r="56" customFormat="false" ht="15" hidden="false" customHeight="true" outlineLevel="0" collapsed="false">
      <c r="A56" s="3" t="s">
        <v>216</v>
      </c>
      <c r="B56" s="3" t="s">
        <v>217</v>
      </c>
      <c r="C56" s="3" t="s">
        <v>274</v>
      </c>
      <c r="D56" s="3"/>
      <c r="E56" s="3"/>
      <c r="F56" s="4" t="n">
        <v>38</v>
      </c>
      <c r="G56" s="3"/>
      <c r="H56" s="4" t="str">
        <f aca="false">IF(F56&gt;=80,"🟢🟢 GANADOR FUERTE",IF(F56&gt;=60,"🟢 GANADOR",IF(F56&gt;=40,"🟡 POTENCIAL","🔴 DESCARTAR")))</f>
        <v>🔴 DESCARTAR</v>
      </c>
      <c r="I56" s="3"/>
      <c r="J56" s="3"/>
      <c r="K56" s="3"/>
      <c r="L56" s="3"/>
      <c r="M56" s="3"/>
      <c r="N56" s="3"/>
      <c r="O56" s="3"/>
      <c r="P56" s="3" t="s">
        <v>264</v>
      </c>
      <c r="Q56" s="3"/>
      <c r="R56" s="3" t="str">
        <f aca="false">IF(OR(I56="",J56=""),"Sin dato",IF(AND(I56&gt;=20,J56&gt;15),"Sí","No"))</f>
        <v>Sin dato</v>
      </c>
      <c r="S56" s="3" t="n">
        <f aca="false">RANK(F56,$F$2:$F$73)</f>
        <v>54</v>
      </c>
    </row>
    <row r="57" customFormat="false" ht="15" hidden="false" customHeight="true" outlineLevel="0" collapsed="false">
      <c r="A57" s="3" t="s">
        <v>216</v>
      </c>
      <c r="B57" s="3" t="s">
        <v>217</v>
      </c>
      <c r="C57" s="3" t="s">
        <v>275</v>
      </c>
      <c r="D57" s="3"/>
      <c r="E57" s="3"/>
      <c r="F57" s="4" t="n">
        <v>36</v>
      </c>
      <c r="G57" s="3"/>
      <c r="H57" s="4" t="str">
        <f aca="false">IF(F57&gt;=80,"🟢🟢 GANADOR FUERTE",IF(F57&gt;=60,"🟢 GANADOR",IF(F57&gt;=40,"🟡 POTENCIAL","🔴 DESCARTAR")))</f>
        <v>🔴 DESCARTAR</v>
      </c>
      <c r="I57" s="3"/>
      <c r="J57" s="3"/>
      <c r="K57" s="3"/>
      <c r="L57" s="3"/>
      <c r="M57" s="3"/>
      <c r="N57" s="3"/>
      <c r="O57" s="3"/>
      <c r="P57" s="3" t="s">
        <v>264</v>
      </c>
      <c r="Q57" s="3"/>
      <c r="R57" s="3" t="str">
        <f aca="false">IF(OR(I57="",J57=""),"Sin dato",IF(AND(I57&gt;=20,J57&gt;15),"Sí","No"))</f>
        <v>Sin dato</v>
      </c>
      <c r="S57" s="3" t="n">
        <f aca="false">RANK(F57,$F$2:$F$73)</f>
        <v>56</v>
      </c>
    </row>
    <row r="58" customFormat="false" ht="15" hidden="false" customHeight="true" outlineLevel="0" collapsed="false">
      <c r="A58" s="3" t="s">
        <v>216</v>
      </c>
      <c r="B58" s="3" t="s">
        <v>217</v>
      </c>
      <c r="C58" s="3" t="s">
        <v>276</v>
      </c>
      <c r="D58" s="3"/>
      <c r="E58" s="3"/>
      <c r="F58" s="4" t="n">
        <v>31</v>
      </c>
      <c r="G58" s="3"/>
      <c r="H58" s="4" t="str">
        <f aca="false">IF(F58&gt;=80,"🟢🟢 GANADOR FUERTE",IF(F58&gt;=60,"🟢 GANADOR",IF(F58&gt;=40,"🟡 POTENCIAL","🔴 DESCARTAR")))</f>
        <v>🔴 DESCARTAR</v>
      </c>
      <c r="I58" s="3"/>
      <c r="J58" s="3"/>
      <c r="K58" s="3"/>
      <c r="L58" s="3"/>
      <c r="M58" s="3"/>
      <c r="N58" s="3"/>
      <c r="O58" s="3"/>
      <c r="P58" s="3" t="s">
        <v>264</v>
      </c>
      <c r="Q58" s="3"/>
      <c r="R58" s="3" t="str">
        <f aca="false">IF(OR(I58="",J58=""),"Sin dato",IF(AND(I58&gt;=20,J58&gt;15),"Sí","No"))</f>
        <v>Sin dato</v>
      </c>
      <c r="S58" s="3" t="n">
        <f aca="false">RANK(F58,$F$2:$F$73)</f>
        <v>63</v>
      </c>
    </row>
    <row r="59" customFormat="false" ht="15" hidden="false" customHeight="true" outlineLevel="0" collapsed="false">
      <c r="A59" s="3" t="s">
        <v>216</v>
      </c>
      <c r="B59" s="3" t="s">
        <v>217</v>
      </c>
      <c r="C59" s="3" t="s">
        <v>277</v>
      </c>
      <c r="D59" s="3"/>
      <c r="E59" s="3"/>
      <c r="F59" s="4" t="n">
        <v>26</v>
      </c>
      <c r="G59" s="3"/>
      <c r="H59" s="4" t="str">
        <f aca="false">IF(F59&gt;=80,"🟢🟢 GANADOR FUERTE",IF(F59&gt;=60,"🟢 GANADOR",IF(F59&gt;=40,"🟡 POTENCIAL","🔴 DESCARTAR")))</f>
        <v>🔴 DESCARTAR</v>
      </c>
      <c r="I59" s="3"/>
      <c r="J59" s="3"/>
      <c r="K59" s="3"/>
      <c r="L59" s="3"/>
      <c r="M59" s="3"/>
      <c r="N59" s="3"/>
      <c r="O59" s="3"/>
      <c r="P59" s="3" t="s">
        <v>264</v>
      </c>
      <c r="Q59" s="3"/>
      <c r="R59" s="3" t="str">
        <f aca="false">IF(OR(I59="",J59=""),"Sin dato",IF(AND(I59&gt;=20,J59&gt;15),"Sí","No"))</f>
        <v>Sin dato</v>
      </c>
      <c r="S59" s="3" t="n">
        <f aca="false">RANK(F59,$F$2:$F$73)</f>
        <v>68</v>
      </c>
    </row>
    <row r="60" customFormat="false" ht="15" hidden="false" customHeight="true" outlineLevel="0" collapsed="false">
      <c r="A60" s="3" t="s">
        <v>216</v>
      </c>
      <c r="B60" s="3" t="s">
        <v>217</v>
      </c>
      <c r="C60" s="3" t="s">
        <v>278</v>
      </c>
      <c r="D60" s="3"/>
      <c r="E60" s="3"/>
      <c r="F60" s="4" t="n">
        <v>21</v>
      </c>
      <c r="G60" s="3"/>
      <c r="H60" s="4" t="str">
        <f aca="false">IF(F60&gt;=80,"🟢🟢 GANADOR FUERTE",IF(F60&gt;=60,"🟢 GANADOR",IF(F60&gt;=40,"🟡 POTENCIAL","🔴 DESCARTAR")))</f>
        <v>🔴 DESCARTAR</v>
      </c>
      <c r="I60" s="3"/>
      <c r="J60" s="3"/>
      <c r="K60" s="3"/>
      <c r="L60" s="3"/>
      <c r="M60" s="3"/>
      <c r="N60" s="3"/>
      <c r="O60" s="3"/>
      <c r="P60" s="3" t="s">
        <v>264</v>
      </c>
      <c r="Q60" s="3"/>
      <c r="R60" s="3" t="str">
        <f aca="false">IF(OR(I60="",J60=""),"Sin dato",IF(AND(I60&gt;=20,J60&gt;15),"Sí","No"))</f>
        <v>Sin dato</v>
      </c>
      <c r="S60" s="3" t="n">
        <f aca="false">RANK(F60,$F$2:$F$73)</f>
        <v>69</v>
      </c>
    </row>
    <row r="61" customFormat="false" ht="15" hidden="false" customHeight="true" outlineLevel="0" collapsed="false">
      <c r="A61" s="3" t="s">
        <v>216</v>
      </c>
      <c r="B61" s="3" t="s">
        <v>217</v>
      </c>
      <c r="C61" s="3" t="s">
        <v>279</v>
      </c>
      <c r="D61" s="3"/>
      <c r="E61" s="3"/>
      <c r="F61" s="4" t="n">
        <v>18</v>
      </c>
      <c r="G61" s="3"/>
      <c r="H61" s="4" t="str">
        <f aca="false">IF(F61&gt;=80,"🟢🟢 GANADOR FUERTE",IF(F61&gt;=60,"🟢 GANADOR",IF(F61&gt;=40,"🟡 POTENCIAL","🔴 DESCARTAR")))</f>
        <v>🔴 DESCARTAR</v>
      </c>
      <c r="I61" s="3"/>
      <c r="J61" s="3"/>
      <c r="K61" s="3"/>
      <c r="L61" s="3"/>
      <c r="M61" s="3"/>
      <c r="N61" s="3"/>
      <c r="O61" s="3"/>
      <c r="P61" s="3" t="s">
        <v>264</v>
      </c>
      <c r="Q61" s="3"/>
      <c r="R61" s="3" t="str">
        <f aca="false">IF(OR(I61="",J61=""),"Sin dato",IF(AND(I61&gt;=20,J61&gt;15),"Sí","No"))</f>
        <v>Sin dato</v>
      </c>
      <c r="S61" s="3" t="n">
        <f aca="false">RANK(F61,$F$2:$F$73)</f>
        <v>70</v>
      </c>
    </row>
    <row r="62" customFormat="false" ht="23.25" hidden="false" customHeight="true" outlineLevel="0" collapsed="false">
      <c r="A62" s="3" t="s">
        <v>280</v>
      </c>
      <c r="B62" s="3" t="s">
        <v>281</v>
      </c>
      <c r="C62" s="3" t="s">
        <v>282</v>
      </c>
      <c r="D62" s="3" t="s">
        <v>283</v>
      </c>
      <c r="E62" s="3" t="s">
        <v>284</v>
      </c>
      <c r="F62" s="4" t="n">
        <v>95</v>
      </c>
      <c r="G62" s="3" t="s">
        <v>285</v>
      </c>
      <c r="H62" s="4" t="str">
        <f aca="false">IF(F62&gt;=80,"🟢🟢 GANADOR FUERTE",IF(F62&gt;=60,"🟢 GANADOR",IF(F62&gt;=40,"🟡 POTENCIAL","🔴 DESCARTAR")))</f>
        <v>🟢🟢 GANADOR FUERTE</v>
      </c>
      <c r="I62" s="3" t="n">
        <v>40.1</v>
      </c>
      <c r="J62" s="3" t="n">
        <v>34</v>
      </c>
      <c r="K62" s="3" t="s">
        <v>286</v>
      </c>
      <c r="L62" s="3" t="s">
        <v>287</v>
      </c>
      <c r="M62" s="3" t="s">
        <v>288</v>
      </c>
      <c r="N62" s="3" t="s">
        <v>289</v>
      </c>
      <c r="O62" s="3" t="s">
        <v>290</v>
      </c>
      <c r="P62" s="3" t="s">
        <v>291</v>
      </c>
      <c r="Q62" s="3" t="s">
        <v>292</v>
      </c>
      <c r="R62" s="3" t="str">
        <f aca="false">IF(OR(I62="",J62=""),"Sin dato",IF(AND(I62&gt;=20,J62&gt;15),"Sí","No"))</f>
        <v>Sí</v>
      </c>
      <c r="S62" s="3" t="n">
        <f aca="false">RANK(F62,$F$2:$F$73)</f>
        <v>1</v>
      </c>
    </row>
    <row r="63" customFormat="false" ht="23.25" hidden="false" customHeight="true" outlineLevel="0" collapsed="false">
      <c r="A63" s="3" t="s">
        <v>280</v>
      </c>
      <c r="B63" s="3" t="s">
        <v>281</v>
      </c>
      <c r="C63" s="3" t="s">
        <v>293</v>
      </c>
      <c r="D63" s="3" t="s">
        <v>88</v>
      </c>
      <c r="E63" s="3" t="s">
        <v>294</v>
      </c>
      <c r="F63" s="4" t="n">
        <v>80</v>
      </c>
      <c r="G63" s="3" t="s">
        <v>285</v>
      </c>
      <c r="H63" s="4" t="str">
        <f aca="false">IF(F63&gt;=80,"🟢🟢 GANADOR FUERTE",IF(F63&gt;=60,"🟢 GANADOR",IF(F63&gt;=40,"🟡 POTENCIAL","🔴 DESCARTAR")))</f>
        <v>🟢🟢 GANADOR FUERTE</v>
      </c>
      <c r="I63" s="3" t="n">
        <v>35.4</v>
      </c>
      <c r="J63" s="3" t="n">
        <v>49</v>
      </c>
      <c r="K63" s="3" t="s">
        <v>295</v>
      </c>
      <c r="L63" s="3" t="s">
        <v>296</v>
      </c>
      <c r="M63" s="3" t="s">
        <v>297</v>
      </c>
      <c r="N63" s="3" t="s">
        <v>298</v>
      </c>
      <c r="O63" s="3" t="s">
        <v>299</v>
      </c>
      <c r="P63" s="3" t="s">
        <v>300</v>
      </c>
      <c r="Q63" s="3" t="s">
        <v>301</v>
      </c>
      <c r="R63" s="3" t="str">
        <f aca="false">IF(OR(I63="",J63=""),"Sin dato",IF(AND(I63&gt;=20,J63&gt;15),"Sí","No"))</f>
        <v>Sí</v>
      </c>
      <c r="S63" s="3" t="n">
        <f aca="false">RANK(F63,$F$2:$F$73)</f>
        <v>4</v>
      </c>
    </row>
    <row r="64" customFormat="false" ht="23.25" hidden="false" customHeight="true" outlineLevel="0" collapsed="false">
      <c r="A64" s="3" t="s">
        <v>280</v>
      </c>
      <c r="B64" s="3" t="s">
        <v>281</v>
      </c>
      <c r="C64" s="3" t="s">
        <v>302</v>
      </c>
      <c r="D64" s="3" t="s">
        <v>303</v>
      </c>
      <c r="E64" s="3" t="s">
        <v>304</v>
      </c>
      <c r="F64" s="4" t="n">
        <v>39</v>
      </c>
      <c r="G64" s="3" t="s">
        <v>34</v>
      </c>
      <c r="H64" s="4" t="str">
        <f aca="false">IF(F64&gt;=80,"🟢🟢 GANADOR FUERTE",IF(F64&gt;=60,"🟢 GANADOR",IF(F64&gt;=40,"🟡 POTENCIAL","🔴 DESCARTAR")))</f>
        <v>🔴 DESCARTAR</v>
      </c>
      <c r="I64" s="3" t="n">
        <v>14.2</v>
      </c>
      <c r="J64" s="3" t="n">
        <v>4</v>
      </c>
      <c r="K64" s="3" t="s">
        <v>305</v>
      </c>
      <c r="L64" s="3" t="s">
        <v>251</v>
      </c>
      <c r="M64" s="3" t="s">
        <v>306</v>
      </c>
      <c r="N64" s="3" t="s">
        <v>307</v>
      </c>
      <c r="O64" s="3" t="s">
        <v>308</v>
      </c>
      <c r="P64" s="3" t="s">
        <v>309</v>
      </c>
      <c r="Q64" s="3" t="s">
        <v>310</v>
      </c>
      <c r="R64" s="3" t="str">
        <f aca="false">IF(OR(I64="",J64=""),"Sin dato",IF(AND(I64&gt;=20,J64&gt;15),"Sí","No"))</f>
        <v>No</v>
      </c>
      <c r="S64" s="3" t="n">
        <f aca="false">RANK(F64,$F$2:$F$73)</f>
        <v>53</v>
      </c>
    </row>
    <row r="65" customFormat="false" ht="23.25" hidden="false" customHeight="true" outlineLevel="0" collapsed="false">
      <c r="A65" s="3" t="s">
        <v>280</v>
      </c>
      <c r="B65" s="3" t="s">
        <v>281</v>
      </c>
      <c r="C65" s="3" t="s">
        <v>311</v>
      </c>
      <c r="D65" s="3" t="s">
        <v>99</v>
      </c>
      <c r="E65" s="3" t="s">
        <v>312</v>
      </c>
      <c r="F65" s="4" t="n">
        <v>34</v>
      </c>
      <c r="G65" s="3" t="s">
        <v>34</v>
      </c>
      <c r="H65" s="4" t="str">
        <f aca="false">IF(F65&gt;=80,"🟢🟢 GANADOR FUERTE",IF(F65&gt;=60,"🟢 GANADOR",IF(F65&gt;=40,"🟡 POTENCIAL","🔴 DESCARTAR")))</f>
        <v>🔴 DESCARTAR</v>
      </c>
      <c r="I65" s="3" t="n">
        <v>7.8</v>
      </c>
      <c r="J65" s="3" t="n">
        <v>11</v>
      </c>
      <c r="K65" s="3" t="s">
        <v>313</v>
      </c>
      <c r="L65" s="3" t="s">
        <v>314</v>
      </c>
      <c r="M65" s="3" t="s">
        <v>315</v>
      </c>
      <c r="N65" s="3" t="s">
        <v>316</v>
      </c>
      <c r="O65" s="3" t="s">
        <v>232</v>
      </c>
      <c r="P65" s="3" t="s">
        <v>317</v>
      </c>
      <c r="Q65" s="3" t="s">
        <v>318</v>
      </c>
      <c r="R65" s="3" t="str">
        <f aca="false">IF(OR(I65="",J65=""),"Sin dato",IF(AND(I65&gt;=20,J65&gt;15),"Sí","No"))</f>
        <v>No</v>
      </c>
      <c r="S65" s="3" t="n">
        <f aca="false">RANK(F65,$F$2:$F$73)</f>
        <v>58</v>
      </c>
    </row>
    <row r="66" customFormat="false" ht="23.25" hidden="false" customHeight="true" outlineLevel="0" collapsed="false">
      <c r="A66" s="3" t="s">
        <v>280</v>
      </c>
      <c r="B66" s="3" t="s">
        <v>281</v>
      </c>
      <c r="C66" s="3" t="s">
        <v>319</v>
      </c>
      <c r="D66" s="3" t="s">
        <v>320</v>
      </c>
      <c r="E66" s="3" t="s">
        <v>321</v>
      </c>
      <c r="F66" s="4" t="n">
        <v>33</v>
      </c>
      <c r="G66" s="3" t="s">
        <v>34</v>
      </c>
      <c r="H66" s="4" t="str">
        <f aca="false">IF(F66&gt;=80,"🟢🟢 GANADOR FUERTE",IF(F66&gt;=60,"🟢 GANADOR",IF(F66&gt;=40,"🟡 POTENCIAL","🔴 DESCARTAR")))</f>
        <v>🔴 DESCARTAR</v>
      </c>
      <c r="I66" s="3" t="n">
        <v>7.6</v>
      </c>
      <c r="J66" s="3" t="n">
        <v>8</v>
      </c>
      <c r="K66" s="3" t="s">
        <v>313</v>
      </c>
      <c r="L66" s="3" t="s">
        <v>322</v>
      </c>
      <c r="M66" s="3" t="s">
        <v>323</v>
      </c>
      <c r="N66" s="3" t="s">
        <v>324</v>
      </c>
      <c r="O66" s="3" t="s">
        <v>325</v>
      </c>
      <c r="P66" s="3" t="s">
        <v>326</v>
      </c>
      <c r="Q66" s="3" t="s">
        <v>327</v>
      </c>
      <c r="R66" s="3" t="str">
        <f aca="false">IF(OR(I66="",J66=""),"Sin dato",IF(AND(I66&gt;=20,J66&gt;15),"Sí","No"))</f>
        <v>No</v>
      </c>
      <c r="S66" s="3" t="n">
        <f aca="false">RANK(F66,$F$2:$F$73)</f>
        <v>60</v>
      </c>
    </row>
    <row r="67" customFormat="false" ht="23.25" hidden="false" customHeight="true" outlineLevel="0" collapsed="false">
      <c r="A67" s="3" t="s">
        <v>280</v>
      </c>
      <c r="B67" s="3" t="s">
        <v>281</v>
      </c>
      <c r="C67" s="3" t="s">
        <v>328</v>
      </c>
      <c r="D67" s="3" t="s">
        <v>329</v>
      </c>
      <c r="E67" s="3" t="s">
        <v>330</v>
      </c>
      <c r="F67" s="4" t="n">
        <v>15</v>
      </c>
      <c r="G67" s="3" t="s">
        <v>24</v>
      </c>
      <c r="H67" s="4" t="str">
        <f aca="false">IF(F67&gt;=80,"🟢🟢 GANADOR FUERTE",IF(F67&gt;=60,"🟢 GANADOR",IF(F67&gt;=40,"🟡 POTENCIAL","🔴 DESCARTAR")))</f>
        <v>🔴 DESCARTAR</v>
      </c>
      <c r="I67" s="3" t="n">
        <v>0</v>
      </c>
      <c r="J67" s="3" t="n">
        <v>0</v>
      </c>
      <c r="K67" s="3" t="s">
        <v>331</v>
      </c>
      <c r="L67" s="3" t="s">
        <v>313</v>
      </c>
      <c r="M67" s="3" t="s">
        <v>332</v>
      </c>
      <c r="N67" s="3" t="s">
        <v>333</v>
      </c>
      <c r="O67" s="3" t="s">
        <v>334</v>
      </c>
      <c r="P67" s="3" t="s">
        <v>335</v>
      </c>
      <c r="Q67" s="3" t="s">
        <v>336</v>
      </c>
      <c r="R67" s="3" t="str">
        <f aca="false">IF(OR(I67="",J67=""),"Sin dato",IF(AND(I67&gt;=20,J67&gt;15),"Sí","No"))</f>
        <v>No</v>
      </c>
      <c r="S67" s="3" t="n">
        <f aca="false">RANK(F67,$F$2:$F$73)</f>
        <v>71</v>
      </c>
    </row>
    <row r="68" customFormat="false" ht="15" hidden="false" customHeight="true" outlineLevel="0" collapsed="false">
      <c r="A68" s="1" t="s">
        <v>337</v>
      </c>
      <c r="B68" s="1" t="s">
        <v>281</v>
      </c>
      <c r="C68" s="1" t="s">
        <v>338</v>
      </c>
      <c r="D68" s="1" t="s">
        <v>339</v>
      </c>
      <c r="E68" s="1" t="s">
        <v>340</v>
      </c>
      <c r="F68" s="1" t="n">
        <v>55</v>
      </c>
      <c r="G68" s="1" t="s">
        <v>34</v>
      </c>
      <c r="H68" s="1" t="str">
        <f aca="false">IF(F68&gt;=80,"🟢🟢 GANADOR FUERTE",IF(F68&gt;=60,"🟢 GANADOR",IF(F68&gt;=40,"🟡 POTENCIAL","🔴 DESCARTAR")))</f>
        <v>🟡 POTENCIAL</v>
      </c>
      <c r="I68" s="1" t="n">
        <v>14</v>
      </c>
      <c r="J68" s="1" t="n">
        <v>5</v>
      </c>
      <c r="K68" s="1" t="s">
        <v>341</v>
      </c>
      <c r="L68" s="1" t="n">
        <v>6</v>
      </c>
      <c r="M68" s="1" t="s">
        <v>342</v>
      </c>
      <c r="N68" s="1" t="s">
        <v>343</v>
      </c>
      <c r="O68" s="1" t="s">
        <v>344</v>
      </c>
      <c r="P68" s="1" t="s">
        <v>345</v>
      </c>
      <c r="Q68" s="1" t="s">
        <v>346</v>
      </c>
      <c r="R68" s="1" t="str">
        <f aca="false">IF(OR(I68="",J68=""),"Sin dato",IF(AND(I68&gt;=20,J68&gt;15),"Sí","No"))</f>
        <v>No</v>
      </c>
      <c r="S68" s="1" t="n">
        <f aca="false">RANK(F68,$F$2:$F$73)</f>
        <v>34</v>
      </c>
    </row>
    <row r="69" customFormat="false" ht="15" hidden="false" customHeight="true" outlineLevel="0" collapsed="false">
      <c r="A69" s="5" t="s">
        <v>337</v>
      </c>
      <c r="B69" s="1" t="s">
        <v>281</v>
      </c>
      <c r="C69" s="1" t="s">
        <v>347</v>
      </c>
      <c r="D69" s="1" t="s">
        <v>348</v>
      </c>
      <c r="E69" s="1" t="s">
        <v>340</v>
      </c>
      <c r="F69" s="1" t="n">
        <v>34</v>
      </c>
      <c r="G69" s="1" t="s">
        <v>24</v>
      </c>
      <c r="H69" s="1" t="str">
        <f aca="false">IF(F69&gt;=80,"🟢🟢 GANADOR FUERTE",IF(F69&gt;=60,"🟢 GANADOR",IF(F69&gt;=40,"🟡 POTENCIAL","🔴 DESCARTAR")))</f>
        <v>🔴 DESCARTAR</v>
      </c>
      <c r="K69" s="1" t="s">
        <v>349</v>
      </c>
      <c r="M69" s="1" t="s">
        <v>350</v>
      </c>
      <c r="N69" s="1" t="s">
        <v>351</v>
      </c>
      <c r="O69" s="1" t="s">
        <v>344</v>
      </c>
      <c r="P69" s="1" t="s">
        <v>352</v>
      </c>
      <c r="Q69" s="1" t="s">
        <v>353</v>
      </c>
      <c r="R69" s="1" t="str">
        <f aca="false">IF(OR(I69="",J69=""),"Sin dato",IF(AND(I69&gt;=20,J69&gt;15),"Sí","No"))</f>
        <v>Sin dato</v>
      </c>
      <c r="S69" s="1" t="n">
        <f aca="false">RANK(F69,$F$2:$F$73)</f>
        <v>58</v>
      </c>
    </row>
    <row r="70" customFormat="false" ht="15" hidden="false" customHeight="true" outlineLevel="0" collapsed="false">
      <c r="A70" s="1" t="s">
        <v>337</v>
      </c>
      <c r="B70" s="1" t="s">
        <v>281</v>
      </c>
      <c r="C70" s="1" t="s">
        <v>354</v>
      </c>
      <c r="D70" s="1" t="s">
        <v>355</v>
      </c>
      <c r="E70" s="1" t="s">
        <v>340</v>
      </c>
      <c r="F70" s="1" t="n">
        <v>32</v>
      </c>
      <c r="G70" s="1" t="s">
        <v>24</v>
      </c>
      <c r="H70" s="1" t="str">
        <f aca="false">IF(F70&gt;=80,"🟢🟢 GANADOR FUERTE",IF(F70&gt;=60,"🟢 GANADOR",IF(F70&gt;=40,"🟡 POTENCIAL","🔴 DESCARTAR")))</f>
        <v>🔴 DESCARTAR</v>
      </c>
      <c r="K70" s="1" t="s">
        <v>349</v>
      </c>
      <c r="M70" s="1" t="s">
        <v>26</v>
      </c>
      <c r="N70" s="1" t="s">
        <v>343</v>
      </c>
      <c r="O70" s="1" t="s">
        <v>334</v>
      </c>
      <c r="P70" s="1" t="s">
        <v>356</v>
      </c>
      <c r="Q70" s="1" t="s">
        <v>357</v>
      </c>
      <c r="R70" s="1" t="str">
        <f aca="false">IF(OR(I70="",J70=""),"Sin dato",IF(AND(I70&gt;=20,J70&gt;15),"Sí","No"))</f>
        <v>Sin dato</v>
      </c>
      <c r="S70" s="1" t="n">
        <f aca="false">RANK(F70,$F$2:$F$73)</f>
        <v>61</v>
      </c>
    </row>
    <row r="71" customFormat="false" ht="15" hidden="false" customHeight="true" outlineLevel="0" collapsed="false">
      <c r="A71" s="1" t="s">
        <v>337</v>
      </c>
      <c r="B71" s="1" t="s">
        <v>281</v>
      </c>
      <c r="C71" s="1" t="s">
        <v>358</v>
      </c>
      <c r="D71" s="1" t="s">
        <v>359</v>
      </c>
      <c r="E71" s="1" t="s">
        <v>360</v>
      </c>
      <c r="F71" s="1" t="n">
        <v>15</v>
      </c>
      <c r="G71" s="1" t="s">
        <v>24</v>
      </c>
      <c r="H71" s="1" t="str">
        <f aca="false">IF(F71&gt;=80,"🟢🟢 GANADOR FUERTE",IF(F71&gt;=60,"🟢 GANADOR",IF(F71&gt;=40,"🟡 POTENCIAL","🔴 DESCARTAR")))</f>
        <v>🔴 DESCARTAR</v>
      </c>
      <c r="J71" s="1" t="n">
        <v>0</v>
      </c>
      <c r="K71" s="1" t="s">
        <v>334</v>
      </c>
      <c r="M71" s="1" t="s">
        <v>361</v>
      </c>
      <c r="N71" s="1" t="s">
        <v>351</v>
      </c>
      <c r="O71" s="1" t="s">
        <v>334</v>
      </c>
      <c r="P71" s="1" t="s">
        <v>362</v>
      </c>
      <c r="Q71" s="1" t="s">
        <v>363</v>
      </c>
      <c r="R71" s="1" t="str">
        <f aca="false">IF(OR(I71="",J71=""),"Sin dato",IF(AND(I71&gt;=20,J71&gt;15),"Sí","No"))</f>
        <v>Sin dato</v>
      </c>
      <c r="S71" s="1" t="n">
        <f aca="false">RANK(F71,$F$2:$F$73)</f>
        <v>71</v>
      </c>
    </row>
    <row r="72" customFormat="false" ht="15" hidden="false" customHeight="false" outlineLevel="0" collapsed="false">
      <c r="A72" s="1" t="s">
        <v>364</v>
      </c>
      <c r="B72" s="1" t="s">
        <v>281</v>
      </c>
      <c r="C72" s="1" t="s">
        <v>365</v>
      </c>
      <c r="D72" s="1" t="s">
        <v>366</v>
      </c>
      <c r="E72" s="1" t="s">
        <v>340</v>
      </c>
      <c r="F72" s="1" t="n">
        <v>30</v>
      </c>
      <c r="G72" s="1" t="s">
        <v>34</v>
      </c>
      <c r="H72" s="1" t="str">
        <f aca="false">IF(F72&gt;=80,"🟢🟢 GANADOR FUERTE",IF(F72&gt;=60,"🟢 GANADOR",IF(F72&gt;=40,"🟡 POTENCIAL","🔴 DESCARTAR")))</f>
        <v>🔴 DESCARTAR</v>
      </c>
      <c r="I72" s="1" t="n">
        <v>6.9</v>
      </c>
      <c r="J72" s="1" t="n">
        <v>8</v>
      </c>
      <c r="K72" s="1" t="s">
        <v>349</v>
      </c>
      <c r="M72" s="1" t="s">
        <v>367</v>
      </c>
      <c r="N72" s="1" t="s">
        <v>343</v>
      </c>
      <c r="O72" s="1" t="s">
        <v>344</v>
      </c>
      <c r="P72" s="1" t="s">
        <v>368</v>
      </c>
      <c r="Q72" s="1" t="s">
        <v>369</v>
      </c>
      <c r="R72" s="1" t="str">
        <f aca="false">IF(OR(I72="",J72=""),"Sin dato",IF(AND(I72&gt;=20,J72&gt;15),"Sí","No"))</f>
        <v>No</v>
      </c>
      <c r="S72" s="1" t="n">
        <f aca="false">RANK(F72,$F$2:$F$73)</f>
        <v>65</v>
      </c>
    </row>
    <row r="73" customFormat="false" ht="15" hidden="false" customHeight="false" outlineLevel="0" collapsed="false">
      <c r="A73" s="1" t="s">
        <v>364</v>
      </c>
      <c r="B73" s="1" t="s">
        <v>281</v>
      </c>
      <c r="C73" s="1" t="s">
        <v>370</v>
      </c>
      <c r="D73" s="1" t="s">
        <v>366</v>
      </c>
      <c r="E73" s="1" t="s">
        <v>340</v>
      </c>
      <c r="F73" s="1" t="n">
        <v>66</v>
      </c>
      <c r="G73" s="1" t="s">
        <v>34</v>
      </c>
      <c r="H73" s="1" t="str">
        <f aca="false">IF(F73&gt;=80,"🟢🟢 GANADOR FUERTE",IF(F73&gt;=60,"🟢 GANADOR",IF(F73&gt;=40,"🟡 POTENCIAL","🔴 DESCARTAR")))</f>
        <v>🟢 GANADOR</v>
      </c>
      <c r="I73" s="1" t="n">
        <v>56</v>
      </c>
      <c r="J73" s="1" t="n">
        <v>20</v>
      </c>
      <c r="K73" s="1" t="s">
        <v>371</v>
      </c>
      <c r="L73" s="1" t="n">
        <v>9</v>
      </c>
      <c r="M73" s="1" t="s">
        <v>372</v>
      </c>
      <c r="N73" s="1" t="s">
        <v>343</v>
      </c>
      <c r="O73" s="1" t="s">
        <v>373</v>
      </c>
      <c r="P73" s="1" t="s">
        <v>374</v>
      </c>
      <c r="Q73" s="1" t="s">
        <v>375</v>
      </c>
      <c r="R73" s="1" t="str">
        <f aca="false">IF(OR(I73="",J73=""),"Sin dato",IF(AND(I73&gt;=20,J73&gt;15),"Sí","No"))</f>
        <v>Sí</v>
      </c>
      <c r="S73" s="1" t="n">
        <f aca="false">RANK(F73,$F$2:$F$73)</f>
        <v>15</v>
      </c>
    </row>
  </sheetData>
  <autoFilter ref="A1:S6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0"/>
    <col collapsed="false" customWidth="true" hidden="false" outlineLevel="0" max="5" min="3" style="1" width="44"/>
    <col collapsed="false" customWidth="true" hidden="false" outlineLevel="0" max="6" min="6" style="1" width="34"/>
    <col collapsed="false" customWidth="true" hidden="false" outlineLevel="0" max="7" min="7" style="1" width="38"/>
  </cols>
  <sheetData>
    <row r="1" customFormat="false" ht="15" hidden="false" customHeight="true" outlineLevel="0" collapsed="false">
      <c r="A1" s="6" t="s">
        <v>376</v>
      </c>
      <c r="B1" s="7"/>
      <c r="C1" s="7"/>
      <c r="D1" s="7"/>
      <c r="E1" s="7"/>
      <c r="F1" s="7"/>
      <c r="G1" s="7"/>
    </row>
    <row r="2" customFormat="false" ht="34.5" hidden="false" customHeight="true" outlineLevel="0" collapsed="false">
      <c r="A2" s="8"/>
      <c r="B2" s="8"/>
      <c r="C2" s="8"/>
      <c r="D2" s="8"/>
      <c r="E2" s="8"/>
      <c r="F2" s="8"/>
      <c r="G2" s="8"/>
    </row>
    <row r="3" customFormat="false" ht="34.5" hidden="false" customHeight="true" outlineLevel="0" collapsed="false">
      <c r="A3" s="9" t="s">
        <v>377</v>
      </c>
      <c r="B3" s="9" t="s">
        <v>378</v>
      </c>
      <c r="C3" s="9" t="s">
        <v>5</v>
      </c>
      <c r="D3" s="9" t="s">
        <v>379</v>
      </c>
      <c r="E3" s="9" t="s">
        <v>380</v>
      </c>
      <c r="F3" s="9" t="s">
        <v>381</v>
      </c>
      <c r="G3" s="9" t="s">
        <v>382</v>
      </c>
      <c r="H3" s="10" t="s">
        <v>383</v>
      </c>
      <c r="I3" s="10" t="s">
        <v>384</v>
      </c>
      <c r="J3" s="10" t="s">
        <v>385</v>
      </c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customFormat="false" ht="34.5" hidden="false" customHeight="true" outlineLevel="0" collapsed="false">
      <c r="A4" s="8" t="n">
        <v>1</v>
      </c>
      <c r="B4" s="8" t="s">
        <v>386</v>
      </c>
      <c r="C4" s="8" t="n">
        <v>63</v>
      </c>
      <c r="D4" s="8" t="n">
        <v>24</v>
      </c>
      <c r="E4" s="8" t="n">
        <v>425</v>
      </c>
      <c r="F4" s="8" t="n">
        <v>1</v>
      </c>
      <c r="G4" s="8" t="s">
        <v>387</v>
      </c>
      <c r="H4" s="11" t="s">
        <v>232</v>
      </c>
      <c r="I4" s="11" t="s">
        <v>388</v>
      </c>
      <c r="J4" s="11" t="s">
        <v>389</v>
      </c>
    </row>
    <row r="5" customFormat="false" ht="15" hidden="false" customHeight="true" outlineLevel="0" collapsed="false">
      <c r="A5" s="8" t="n">
        <v>2</v>
      </c>
      <c r="B5" s="8" t="s">
        <v>390</v>
      </c>
      <c r="C5" s="8" t="n">
        <v>66</v>
      </c>
      <c r="D5" s="8" t="n">
        <v>58</v>
      </c>
      <c r="E5" s="8" t="n">
        <v>25</v>
      </c>
      <c r="F5" s="8" t="n">
        <v>2</v>
      </c>
      <c r="G5" s="8" t="s">
        <v>232</v>
      </c>
      <c r="H5" s="11" t="s">
        <v>224</v>
      </c>
      <c r="I5" s="11" t="s">
        <v>391</v>
      </c>
      <c r="J5" s="11" t="s">
        <v>392</v>
      </c>
    </row>
    <row r="6" customFormat="false" ht="15" hidden="false" customHeight="true" outlineLevel="0" collapsed="false">
      <c r="A6" s="8" t="n">
        <v>3</v>
      </c>
      <c r="B6" s="8" t="s">
        <v>393</v>
      </c>
      <c r="C6" s="8" t="n">
        <v>66</v>
      </c>
      <c r="D6" s="8" t="n">
        <v>110</v>
      </c>
      <c r="E6" s="8" t="n">
        <v>22</v>
      </c>
      <c r="F6" s="8" t="n">
        <v>4</v>
      </c>
      <c r="G6" s="8" t="s">
        <v>394</v>
      </c>
      <c r="H6" s="11" t="s">
        <v>395</v>
      </c>
      <c r="I6" s="11" t="s">
        <v>391</v>
      </c>
      <c r="J6" s="11" t="s">
        <v>396</v>
      </c>
    </row>
    <row r="7" customFormat="false" ht="23.25" hidden="false" customHeight="true" outlineLevel="0" collapsed="false">
      <c r="A7" s="8"/>
      <c r="B7" s="8"/>
      <c r="C7" s="8"/>
      <c r="D7" s="8"/>
      <c r="E7" s="8"/>
      <c r="F7" s="8"/>
      <c r="G7" s="8"/>
    </row>
    <row r="8" customFormat="false" ht="23.25" hidden="false" customHeight="true" outlineLevel="0" collapsed="false">
      <c r="A8" s="8" t="s">
        <v>397</v>
      </c>
      <c r="B8" s="8"/>
      <c r="C8" s="8"/>
      <c r="D8" s="8"/>
      <c r="E8" s="8"/>
      <c r="F8" s="8"/>
      <c r="G8" s="8"/>
    </row>
    <row r="9" customFormat="false" ht="15" hidden="false" customHeight="false" outlineLevel="0" collapsed="false">
      <c r="A9" s="1" t="s">
        <v>398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2026-10-07T13:42:18Z</dcterms:created>
  <dc:creator>openpyxl</dc:creator>
  <dc:description/>
  <dc:language>en-US</dc:language>
  <cp:lastModifiedBy/>
  <dcterms:modified xsi:type="dcterms:W3CDTF">2026-10-08T01:29:22Z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