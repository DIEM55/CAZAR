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ista maestra" sheetId="1" state="visible" r:id="rId1"/>
    <sheet name="Score detalle" sheetId="2" state="visible" r:id="rId2"/>
    <sheet name="Historial" sheetId="3" state="visible" r:id="rId3"/>
    <sheet name="Veredicto 05-10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2B3FA8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6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4" min="1" max="1"/>
    <col width="36" customWidth="1" style="4" min="2" max="2"/>
    <col width="18" customWidth="1" style="4" min="3" max="3"/>
    <col width="22" customWidth="1" style="4" min="4" max="4"/>
    <col width="24" customWidth="1" style="4" min="5" max="5"/>
    <col width="8" customWidth="1" style="4" min="6" max="6"/>
    <col width="11" customWidth="1" style="4" min="7" max="7"/>
    <col width="22" customWidth="1" style="4" min="8" max="8"/>
    <col width="14" customWidth="1" style="4" min="9" max="9"/>
    <col width="12" customWidth="1" style="4" min="10" max="11"/>
    <col width="34" customWidth="1" style="4" min="12" max="13"/>
    <col width="10" customWidth="1" style="4" min="14" max="14"/>
    <col width="22" customWidth="1" style="4" min="15" max="15"/>
    <col width="32" customWidth="1" style="4" min="16" max="16"/>
    <col width="24" customWidth="1" style="4" min="17" max="17"/>
    <col width="34" customWidth="1" style="4" min="18" max="18"/>
    <col width="22" customWidth="1" style="4" min="19" max="19"/>
    <col width="50" customWidth="1" style="4" min="20" max="20"/>
    <col width="40" customWidth="1" style="4" min="21" max="21"/>
    <col width="12" customWidth="1" style="4" min="22" max="22"/>
  </cols>
  <sheetData>
    <row r="1" ht="35.05" customHeight="1" s="5">
      <c r="A1" s="6" t="inlineStr">
        <is>
          <t>Prioridad modelar</t>
        </is>
      </c>
      <c r="B1" s="6" t="inlineStr">
        <is>
          <t>Producto/Página</t>
        </is>
      </c>
      <c r="C1" s="6" t="inlineStr">
        <is>
          <t>Origen</t>
        </is>
      </c>
      <c r="D1" s="6" t="inlineStr">
        <is>
          <t>Nicho</t>
        </is>
      </c>
      <c r="E1" s="6" t="inlineStr">
        <is>
          <t>Tipo de producto</t>
        </is>
      </c>
      <c r="F1" s="6" t="inlineStr">
        <is>
          <t>Score</t>
        </is>
      </c>
      <c r="G1" s="6" t="inlineStr">
        <is>
          <t>Confianza</t>
        </is>
      </c>
      <c r="H1" s="6" t="inlineStr">
        <is>
          <t>Veredicto</t>
        </is>
      </c>
      <c r="I1" s="6" t="inlineStr">
        <is>
          <t>Antigüedad (días, cota inferior)</t>
        </is>
      </c>
      <c r="J1" s="6" t="inlineStr">
        <is>
          <t>Anuncios activos hoy</t>
        </is>
      </c>
      <c r="K1" s="6" t="inlineStr">
        <is>
          <t>Anuncios activos antes</t>
        </is>
      </c>
      <c r="L1" s="6" t="inlineStr">
        <is>
          <t>Países/idiomas</t>
        </is>
      </c>
      <c r="M1" s="6" t="inlineStr">
        <is>
          <t>Competidores (misma oferta)</t>
        </is>
      </c>
      <c r="N1" s="6" t="inlineStr">
        <is>
          <t>Saturación</t>
        </is>
      </c>
      <c r="O1" s="6" t="inlineStr">
        <is>
          <t>Riesgo compliance</t>
        </is>
      </c>
      <c r="P1" s="6" t="inlineStr">
        <is>
          <t>Avatar</t>
        </is>
      </c>
      <c r="Q1" s="6" t="inlineStr">
        <is>
          <t>Necesidad</t>
        </is>
      </c>
      <c r="R1" s="6" t="inlineStr">
        <is>
          <t>País con mejor potencial</t>
        </is>
      </c>
      <c r="S1" s="6" t="inlineStr">
        <is>
          <t>Tendencia</t>
        </is>
      </c>
      <c r="T1" s="6" t="inlineStr">
        <is>
          <t>Link de referencia</t>
        </is>
      </c>
      <c r="U1" s="6" t="inlineStr">
        <is>
          <t>Notas de medición</t>
        </is>
      </c>
      <c r="V1" s="6" t="inlineStr">
        <is>
          <t>Fecha chequeo</t>
        </is>
      </c>
    </row>
    <row r="2" ht="23.85" customHeight="1" s="5">
      <c r="A2" s="7" t="n">
        <v>1</v>
      </c>
      <c r="B2" s="7" t="inlineStr">
        <is>
          <t>Aprende y Emprende (moldes de cuero y bolsos, voseo)</t>
        </is>
      </c>
      <c r="C2" s="7" t="inlineStr">
        <is>
          <t>Mi búsqueda 04/10</t>
        </is>
      </c>
      <c r="D2" s="7" t="inlineStr">
        <is>
          <t>Marroquinería / bolsos</t>
        </is>
      </c>
      <c r="E2" s="7" t="inlineStr">
        <is>
          <t>Pack de moldes</t>
        </is>
      </c>
      <c r="F2" s="7">
        <f>'Score detalle'!H2</f>
        <v/>
      </c>
      <c r="G2" s="7" t="inlineStr">
        <is>
          <t>Media</t>
        </is>
      </c>
      <c r="H2" s="7">
        <f>IF(F2&gt;=80,"🟢🟢 GANADOR FUERTE",IF(F2&gt;=60,"🟢 GANADOR",IF(F2&gt;=40,"🟡 POTENCIAL","🔴 DESCARTAR")))</f>
        <v/>
      </c>
      <c r="I2" s="7" t="n">
        <v>33</v>
      </c>
      <c r="J2" s="7" t="n">
        <v>33</v>
      </c>
      <c r="K2" s="7" t="n">
        <v>7</v>
      </c>
      <c r="L2" s="7" t="inlineStr">
        <is>
          <t>Argentina (copy con precio en ARS $5.000); moneda USD</t>
        </is>
      </c>
      <c r="M2" s="7" t="inlineStr">
        <is>
          <t>1-2 (Aprende ya, PE, +1000 moldes de bolsas)</t>
        </is>
      </c>
      <c r="N2" s="7" t="inlineStr">
        <is>
          <t>No</t>
        </is>
      </c>
      <c r="O2" s="7" t="inlineStr">
        <is>
          <t>No detectado</t>
        </is>
      </c>
      <c r="P2" s="7" t="inlineStr">
        <is>
          <t>Mujeres 28-55 que hacen bolsos o quieren emprender</t>
        </is>
      </c>
      <c r="Q2" s="7" t="inlineStr">
        <is>
          <t>Ingreso extra</t>
        </is>
      </c>
      <c r="R2" s="7" t="inlineStr">
        <is>
          <t>Argentina primero; luego Perú/Colombia con variante neutra</t>
        </is>
      </c>
      <c r="S2" s="7" t="inlineStr">
        <is>
          <t>↑ (7→33 anuncios)</t>
        </is>
      </c>
      <c r="T2" s="7" t="inlineStr">
        <is>
          <t>https://www.facebook.com/ads/library/?id=2133118737279882</t>
        </is>
      </c>
      <c r="U2" s="7" t="inlineStr">
        <is>
          <t>2 oleadas: coser (09/2026) y moldes de cuero (actual). Casi sin competencia directa.</t>
        </is>
      </c>
      <c r="V2" s="7" t="inlineStr">
        <is>
          <t>2026-10-04</t>
        </is>
      </c>
    </row>
    <row r="3" ht="23.85" customHeight="1" s="5">
      <c r="A3" s="7" t="n">
        <v>4</v>
      </c>
      <c r="B3" s="7" t="inlineStr">
        <is>
          <t>Udemia.IA (mini-cursos 'Dominá X en 7 días')</t>
        </is>
      </c>
      <c r="C3" s="7" t="inlineStr">
        <is>
          <t>Tu planilla 30/09</t>
        </is>
      </c>
      <c r="D3" s="7" t="inlineStr">
        <is>
          <t>IA / productividad</t>
        </is>
      </c>
      <c r="E3" s="7" t="inlineStr">
        <is>
          <t>Mini-cursos IA</t>
        </is>
      </c>
      <c r="F3" s="7">
        <f>'Score detalle'!H3</f>
        <v/>
      </c>
      <c r="G3" s="7" t="inlineStr">
        <is>
          <t>Media</t>
        </is>
      </c>
      <c r="H3" s="7">
        <f>IF(F3&gt;=80,"🟢🟢 GANADOR FUERTE",IF(F3&gt;=60,"🟢 GANADOR",IF(F3&gt;=40,"🟡 POTENCIAL","🔴 DESCARTAR")))</f>
        <v/>
      </c>
      <c r="I3" s="7" t="n">
        <v>8</v>
      </c>
      <c r="J3" s="7" t="n">
        <v>411</v>
      </c>
      <c r="K3" s="7" t="n">
        <v>336</v>
      </c>
      <c r="L3" s="7" t="inlineStr">
        <is>
          <t>Argentina (88-178 anuncios), LATAM, ES/EE.UU.</t>
        </is>
      </c>
      <c r="M3" s="7" t="inlineStr">
        <is>
          <t>~6 con oferta parecida; 25+ páginas con cursos IA (en AR solo Udemia)</t>
        </is>
      </c>
      <c r="N3" s="7" t="inlineStr">
        <is>
          <t>No</t>
        </is>
      </c>
      <c r="O3" s="7" t="inlineStr">
        <is>
          <t>No detectado</t>
        </is>
      </c>
      <c r="P3" s="7" t="inlineStr">
        <is>
          <t>Adultos 30-60 que sienten que se quedan atrás con la IA</t>
        </is>
      </c>
      <c r="Q3" s="7" t="inlineStr">
        <is>
          <t>Aprender una habilidad</t>
        </is>
      </c>
      <c r="R3" s="7" t="inlineStr">
        <is>
          <t>Argentina y México (voseo)</t>
        </is>
      </c>
      <c r="S3" s="7" t="inlineStr">
        <is>
          <t>↑ (336→411)</t>
        </is>
      </c>
      <c r="T3" s="7" t="inlineStr">
        <is>
          <t>https://www.facebook.com/ads/library/?id=1108972755201032</t>
        </is>
      </c>
      <c r="U3" s="7" t="inlineStr">
        <is>
          <t>Edad verificable solo ≥8 d (el sistema muestra 50 más recientes); ya tenía 4,7+ d el 30/09.</t>
        </is>
      </c>
      <c r="V3" s="7" t="inlineStr">
        <is>
          <t>2026-10-04</t>
        </is>
      </c>
    </row>
    <row r="4" ht="23.85" customHeight="1" s="5">
      <c r="A4" s="7" t="n">
        <v>3</v>
      </c>
      <c r="B4" s="7" t="inlineStr">
        <is>
          <t>Navidad Creativa</t>
        </is>
      </c>
      <c r="C4" s="7" t="inlineStr">
        <is>
          <t>Mi búsqueda 04/10</t>
        </is>
      </c>
      <c r="D4" s="7" t="inlineStr">
        <is>
          <t>Manualidades navideñas</t>
        </is>
      </c>
      <c r="E4" s="7" t="inlineStr">
        <is>
          <t>Curso online</t>
        </is>
      </c>
      <c r="F4" s="7">
        <f>'Score detalle'!H4</f>
        <v/>
      </c>
      <c r="G4" s="7" t="inlineStr">
        <is>
          <t>Media</t>
        </is>
      </c>
      <c r="H4" s="7">
        <f>IF(F4&gt;=80,"🟢🟢 GANADOR FUERTE",IF(F4&gt;=60,"🟢 GANADOR",IF(F4&gt;=40,"🟡 POTENCIAL","🔴 DESCARTAR")))</f>
        <v/>
      </c>
      <c r="I4" s="7" t="n">
        <v>29</v>
      </c>
      <c r="J4" s="7" t="n">
        <v>73</v>
      </c>
      <c r="K4" s="7" t="n">
        <v>73</v>
      </c>
      <c r="L4" s="7" t="inlineStr">
        <is>
          <t>Colombia (COP)</t>
        </is>
      </c>
      <c r="M4" s="7" t="inlineStr">
        <is>
          <t>~5 similares sin verificar idénticos</t>
        </is>
      </c>
      <c r="N4" s="7" t="inlineStr">
        <is>
          <t>No</t>
        </is>
      </c>
      <c r="O4" s="7" t="inlineStr">
        <is>
          <t>No detectado</t>
        </is>
      </c>
      <c r="P4" s="7" t="inlineStr">
        <is>
          <t>Mujeres 30-55 que venden artesanías de temporada</t>
        </is>
      </c>
      <c r="Q4" s="7" t="inlineStr">
        <is>
          <t>Ingreso extra de fin de año</t>
        </is>
      </c>
      <c r="R4" s="7" t="inlineStr">
        <is>
          <t>Colombia; Argentina/Perú/México con adaptación (temporada ya abierta)</t>
        </is>
      </c>
      <c r="S4" s="7" t="inlineStr">
        <is>
          <t>→ (73→73)</t>
        </is>
      </c>
      <c r="T4" s="7" t="inlineStr">
        <is>
          <t>https://www.facebook.com/ads/library/?id=929011006522905</t>
        </is>
      </c>
      <c r="U4" s="7" t="inlineStr">
        <is>
          <t>ESTACIONAL: la ventana es oct-dic. Hay que lanzar ya.</t>
        </is>
      </c>
      <c r="V4" s="7" t="inlineStr">
        <is>
          <t>2026-10-04</t>
        </is>
      </c>
    </row>
    <row r="5" ht="23.85" customHeight="1" s="5">
      <c r="A5" s="7" t="n">
        <v>5</v>
      </c>
      <c r="B5" s="7" t="inlineStr">
        <is>
          <t>Emprende con Arte (crochet 70% OFF)</t>
        </is>
      </c>
      <c r="C5" s="7" t="inlineStr">
        <is>
          <t>Mi búsqueda 04/10</t>
        </is>
      </c>
      <c r="D5" s="7" t="inlineStr">
        <is>
          <t>Crochet</t>
        </is>
      </c>
      <c r="E5" s="7" t="inlineStr">
        <is>
          <t>Curso online</t>
        </is>
      </c>
      <c r="F5" s="7">
        <f>'Score detalle'!H5</f>
        <v/>
      </c>
      <c r="G5" s="7" t="inlineStr">
        <is>
          <t>Media</t>
        </is>
      </c>
      <c r="H5" s="7">
        <f>IF(F5&gt;=80,"🟢🟢 GANADOR FUERTE",IF(F5&gt;=60,"🟢 GANADOR",IF(F5&gt;=40,"🟡 POTENCIAL","🔴 DESCARTAR")))</f>
        <v/>
      </c>
      <c r="I5" s="7" t="n">
        <v>38.7</v>
      </c>
      <c r="J5" s="7" t="n">
        <v>62</v>
      </c>
      <c r="K5" s="7" t="n">
        <v>6</v>
      </c>
      <c r="L5" s="7" t="inlineStr">
        <is>
          <t>USD (países no medidos)</t>
        </is>
      </c>
      <c r="M5" s="7" t="inlineStr">
        <is>
          <t>1-2 (Academia Manualidades Rentables)</t>
        </is>
      </c>
      <c r="N5" s="7" t="inlineStr">
        <is>
          <t>No</t>
        </is>
      </c>
      <c r="O5" s="7" t="inlineStr">
        <is>
          <t>Urgencia agresiva (riesgo medio)</t>
        </is>
      </c>
      <c r="P5" s="7" t="inlineStr">
        <is>
          <t>Mujeres 30-60 que quieren aprender crochet</t>
        </is>
      </c>
      <c r="Q5" s="7" t="inlineStr">
        <is>
          <t>Aprender habilidad</t>
        </is>
      </c>
      <c r="R5" s="7" t="inlineStr">
        <is>
          <t>Colombia o Perú (estimado)</t>
        </is>
      </c>
      <c r="S5" s="7" t="inlineStr">
        <is>
          <t>↑ (6→62; la 1ª medición subestimó)</t>
        </is>
      </c>
      <c r="T5" s="7" t="inlineStr">
        <is>
          <t>https://www.facebook.com/ads/library/?id=1779727460028144</t>
        </is>
      </c>
      <c r="U5" s="7" t="inlineStr">
        <is>
          <t>Corrección: el 1er chequeo había contado solo 6 anuncios.</t>
        </is>
      </c>
      <c r="V5" s="7" t="inlineStr">
        <is>
          <t>2026-10-04</t>
        </is>
      </c>
    </row>
    <row r="6" ht="23.85" customHeight="1" s="5">
      <c r="A6" s="7" t="n">
        <v>6</v>
      </c>
      <c r="B6" s="7" t="inlineStr">
        <is>
          <t>Conocimiento Digital (megapack moldes de costura)</t>
        </is>
      </c>
      <c r="C6" s="7" t="inlineStr">
        <is>
          <t>Tu planilla 30/09</t>
        </is>
      </c>
      <c r="D6" s="7" t="inlineStr">
        <is>
          <t>Costura / moldes</t>
        </is>
      </c>
      <c r="E6" s="7" t="inlineStr">
        <is>
          <t>Megapack PDF</t>
        </is>
      </c>
      <c r="F6" s="7">
        <f>'Score detalle'!H6</f>
        <v/>
      </c>
      <c r="G6" s="7" t="inlineStr">
        <is>
          <t>Media</t>
        </is>
      </c>
      <c r="H6" s="7">
        <f>IF(F6&gt;=80,"🟢🟢 GANADOR FUERTE",IF(F6&gt;=60,"🟢 GANADOR",IF(F6&gt;=40,"🟡 POTENCIAL","🔴 DESCARTAR")))</f>
        <v/>
      </c>
      <c r="I6" s="7" t="n">
        <v>32</v>
      </c>
      <c r="J6" s="7" t="n">
        <v>140</v>
      </c>
      <c r="K6" s="7" t="n">
        <v>135</v>
      </c>
      <c r="L6" s="7" t="inlineStr">
        <is>
          <t>Centroamérica y andinos (85 anuncios el 30/09); moneda USD</t>
        </is>
      </c>
      <c r="M6" s="7" t="inlineStr">
        <is>
          <t>25+ en la categoría (1 con texto casi idéntico)</t>
        </is>
      </c>
      <c r="N6" s="7" t="inlineStr">
        <is>
          <t>Sí</t>
        </is>
      </c>
      <c r="O6" s="7" t="inlineStr">
        <is>
          <t>No visible</t>
        </is>
      </c>
      <c r="P6" s="7" t="inlineStr">
        <is>
          <t>Mujeres 35-60 que cosen en casa</t>
        </is>
      </c>
      <c r="Q6" s="7" t="inlineStr">
        <is>
          <t>Ingresos extra / oficio</t>
        </is>
      </c>
      <c r="R6" s="7" t="inlineStr">
        <is>
          <t>Ecuador, Guatemala, Bolivia (CPM bajo)</t>
        </is>
      </c>
      <c r="S6" s="7" t="inlineStr">
        <is>
          <t>→ (135→140)</t>
        </is>
      </c>
      <c r="T6" s="7" t="inlineStr">
        <is>
          <t>https://www.facebook.com/ads/library/?id=1400702291409435</t>
        </is>
      </c>
      <c r="U6" s="7" t="inlineStr">
        <is>
          <t>Todos los anuncios con el mismo título. Edad real puede ser mayor.</t>
        </is>
      </c>
      <c r="V6" s="7" t="inlineStr">
        <is>
          <t>2026-10-04</t>
        </is>
      </c>
    </row>
    <row r="7" ht="23.85" customHeight="1" s="5">
      <c r="A7" s="7" t="n">
        <v>7</v>
      </c>
      <c r="B7" s="7" t="inlineStr">
        <is>
          <t>Carpintería para todos</t>
        </is>
      </c>
      <c r="C7" s="7" t="inlineStr">
        <is>
          <t>Mi búsqueda 04/10</t>
        </is>
      </c>
      <c r="D7" s="7" t="inlineStr">
        <is>
          <t>Carpintería / planos</t>
        </is>
      </c>
      <c r="E7" s="7" t="inlineStr">
        <is>
          <t>Planos y curso</t>
        </is>
      </c>
      <c r="F7" s="7">
        <f>'Score detalle'!H7</f>
        <v/>
      </c>
      <c r="G7" s="7" t="inlineStr">
        <is>
          <t>Media</t>
        </is>
      </c>
      <c r="H7" s="7">
        <f>IF(F7&gt;=80,"🟢🟢 GANADOR FUERTE",IF(F7&gt;=60,"🟢 GANADOR",IF(F7&gt;=40,"🟡 POTENCIAL","🔴 DESCARTAR")))</f>
        <v/>
      </c>
      <c r="I7" s="7" t="n">
        <v>11.5</v>
      </c>
      <c r="J7" s="7" t="n">
        <v>145</v>
      </c>
      <c r="K7" s="7" t="n">
        <v>50</v>
      </c>
      <c r="L7" s="7" t="inlineStr">
        <is>
          <t>Colombia (COP)</t>
        </is>
      </c>
      <c r="M7" s="7" t="inlineStr">
        <is>
          <t>6+ (Productos Virales Pro, Melamina Desing 2026, Emprende Digital...)</t>
        </is>
      </c>
      <c r="N7" s="7" t="inlineStr">
        <is>
          <t>No</t>
        </is>
      </c>
      <c r="O7" s="7" t="inlineStr">
        <is>
          <t>No detectado</t>
        </is>
      </c>
      <c r="P7" s="7" t="inlineStr">
        <is>
          <t>Hombres 25-55 que buscan oficio o ingreso extra</t>
        </is>
      </c>
      <c r="Q7" s="7" t="inlineStr">
        <is>
          <t>Aprender oficio / ingreso extra</t>
        </is>
      </c>
      <c r="R7" s="7" t="inlineStr">
        <is>
          <t>Colombia; Perú/Bolivia</t>
        </is>
      </c>
      <c r="S7" s="7" t="inlineStr">
        <is>
          <t>↑ (50→145)</t>
        </is>
      </c>
      <c r="T7" s="7" t="inlineStr">
        <is>
          <t>https://www.facebook.com/ads/library/?id=1075331462024005</t>
        </is>
      </c>
      <c r="U7" s="7" t="inlineStr">
        <is>
          <t>Crecimiento fuerte; edad por cota inferior.</t>
        </is>
      </c>
      <c r="V7" s="7" t="inlineStr">
        <is>
          <t>2026-10-04</t>
        </is>
      </c>
    </row>
    <row r="8" ht="23.85" customHeight="1" s="5">
      <c r="A8" s="7" t="n">
        <v>8</v>
      </c>
      <c r="B8" s="7" t="inlineStr">
        <is>
          <t>La Biblioteca Definitiva De Tejido</t>
        </is>
      </c>
      <c r="C8" s="7" t="inlineStr">
        <is>
          <t>Mi búsqueda 04/10</t>
        </is>
      </c>
      <c r="D8" s="7" t="inlineStr">
        <is>
          <t>Tejido / crochet</t>
        </is>
      </c>
      <c r="E8" s="7" t="inlineStr">
        <is>
          <t>Biblioteca de patrones PDF</t>
        </is>
      </c>
      <c r="F8" s="7">
        <f>'Score detalle'!H8</f>
        <v/>
      </c>
      <c r="G8" s="7" t="inlineStr">
        <is>
          <t>Media</t>
        </is>
      </c>
      <c r="H8" s="7">
        <f>IF(F8&gt;=80,"🟢🟢 GANADOR FUERTE",IF(F8&gt;=60,"🟢 GANADOR",IF(F8&gt;=40,"🟡 POTENCIAL","🔴 DESCARTAR")))</f>
        <v/>
      </c>
      <c r="I8" s="7" t="n">
        <v>21.2</v>
      </c>
      <c r="J8" s="7" t="n">
        <v>54</v>
      </c>
      <c r="K8" s="7" t="n">
        <v>54</v>
      </c>
      <c r="L8" s="7" t="inlineStr">
        <is>
          <t>USD, copy en español (países no medidos)</t>
        </is>
      </c>
      <c r="M8" s="7" t="inlineStr">
        <is>
          <t>2 (Rincón de Crochet, El Club del Tejido)</t>
        </is>
      </c>
      <c r="N8" s="7" t="inlineStr">
        <is>
          <t>No</t>
        </is>
      </c>
      <c r="O8" s="7" t="inlineStr">
        <is>
          <t>No detectado</t>
        </is>
      </c>
      <c r="P8" s="7" t="inlineStr">
        <is>
          <t>Mujeres 35-65 aficionadas al tejido</t>
        </is>
      </c>
      <c r="Q8" s="7" t="inlineStr">
        <is>
          <t>Ingreso extra / habilidad</t>
        </is>
      </c>
      <c r="R8" s="7" t="inlineStr">
        <is>
          <t>Colombia o Perú (estimado)</t>
        </is>
      </c>
      <c r="S8" s="7" t="inlineStr">
        <is>
          <t>→ (54→54)</t>
        </is>
      </c>
      <c r="T8" s="7" t="inlineStr">
        <is>
          <t>https://www.facebook.com/ads/library/?id=1753228152684059</t>
        </is>
      </c>
      <c r="U8" s="7" t="inlineStr">
        <is>
          <t>Un solo creativo repetido.</t>
        </is>
      </c>
      <c r="V8" s="7" t="inlineStr">
        <is>
          <t>2026-10-04</t>
        </is>
      </c>
    </row>
    <row r="9" ht="23.85" customHeight="1" s="5">
      <c r="A9" s="7" t="n">
        <v>9</v>
      </c>
      <c r="B9" s="7" t="inlineStr">
        <is>
          <t>Mundo Creativo (+2000 moldes goma eva)</t>
        </is>
      </c>
      <c r="C9" s="7" t="inlineStr">
        <is>
          <t>Mi búsqueda 04/10</t>
        </is>
      </c>
      <c r="D9" s="7" t="inlineStr">
        <is>
          <t>Manualidades</t>
        </is>
      </c>
      <c r="E9" s="7" t="inlineStr">
        <is>
          <t>Pack de moldes</t>
        </is>
      </c>
      <c r="F9" s="7">
        <f>'Score detalle'!H9</f>
        <v/>
      </c>
      <c r="G9" s="7" t="inlineStr">
        <is>
          <t>Media</t>
        </is>
      </c>
      <c r="H9" s="7">
        <f>IF(F9&gt;=80,"🟢🟢 GANADOR FUERTE",IF(F9&gt;=60,"🟢 GANADOR",IF(F9&gt;=40,"🟡 POTENCIAL","🔴 DESCARTAR")))</f>
        <v/>
      </c>
      <c r="I9" s="7" t="n">
        <v>17.3</v>
      </c>
      <c r="J9" s="7" t="n">
        <v>29</v>
      </c>
      <c r="K9" s="7" t="n">
        <v>29</v>
      </c>
      <c r="L9" s="7" t="inlineStr">
        <is>
          <t>USD</t>
        </is>
      </c>
      <c r="M9" s="7" t="inlineStr">
        <is>
          <t>2 (Mundo Foami PE, ARTE Digital)</t>
        </is>
      </c>
      <c r="N9" s="7" t="inlineStr">
        <is>
          <t>No</t>
        </is>
      </c>
      <c r="O9" s="7" t="inlineStr">
        <is>
          <t>No detectado</t>
        </is>
      </c>
      <c r="P9" s="7" t="inlineStr">
        <is>
          <t>Mamás y maestras que hacen manualidades</t>
        </is>
      </c>
      <c r="Q9" s="7" t="inlineStr">
        <is>
          <t>Ingreso extra / ahorro</t>
        </is>
      </c>
      <c r="R9" s="7" t="inlineStr">
        <is>
          <t>Perú/Colombia (estimado)</t>
        </is>
      </c>
      <c r="S9" s="7" t="inlineStr">
        <is>
          <t>→ (29→29)</t>
        </is>
      </c>
      <c r="T9" s="7" t="inlineStr">
        <is>
          <t>https://www.facebook.com/ads/library/?id=1435345688695403</t>
        </is>
      </c>
      <c r="U9" s="7" t="n"/>
      <c r="V9" s="7" t="inlineStr">
        <is>
          <t>2026-10-04</t>
        </is>
      </c>
    </row>
    <row r="10" ht="23.85" customHeight="1" s="5">
      <c r="A10" s="7" t="n">
        <v>10</v>
      </c>
      <c r="B10" s="7" t="inlineStr">
        <is>
          <t>1500 Moldes de Costura</t>
        </is>
      </c>
      <c r="C10" s="7" t="inlineStr">
        <is>
          <t>Ambas (tu planilla y mi lista)</t>
        </is>
      </c>
      <c r="D10" s="7" t="inlineStr">
        <is>
          <t>Costura / moldes</t>
        </is>
      </c>
      <c r="E10" s="7" t="inlineStr">
        <is>
          <t>Megapack PDF</t>
        </is>
      </c>
      <c r="F10" s="7">
        <f>'Score detalle'!H10</f>
        <v/>
      </c>
      <c r="G10" s="7" t="inlineStr">
        <is>
          <t>Media</t>
        </is>
      </c>
      <c r="H10" s="7">
        <f>IF(F10&gt;=80,"🟢🟢 GANADOR FUERTE",IF(F10&gt;=60,"🟢 GANADOR",IF(F10&gt;=40,"🟡 POTENCIAL","🔴 DESCARTAR")))</f>
        <v/>
      </c>
      <c r="I10" s="7" t="n">
        <v>10</v>
      </c>
      <c r="J10" s="7" t="n">
        <v>68</v>
      </c>
      <c r="K10" s="7" t="n">
        <v>42</v>
      </c>
      <c r="L10" s="7" t="inlineStr">
        <is>
          <t>LATAM (36 en AR/MX/CO/CL/PE el 30/09; 168 estimados en AR hoy)</t>
        </is>
      </c>
      <c r="M10" s="7" t="inlineStr">
        <is>
          <t>25+ páginas con packs de moldes</t>
        </is>
      </c>
      <c r="N10" s="7" t="inlineStr">
        <is>
          <t>Sí</t>
        </is>
      </c>
      <c r="O10" s="7" t="inlineStr">
        <is>
          <t>No visible</t>
        </is>
      </c>
      <c r="P10" s="7" t="inlineStr">
        <is>
          <t>Mujeres 30-55 principiantes en costura</t>
        </is>
      </c>
      <c r="Q10" s="7" t="inlineStr">
        <is>
          <t>Ingreso extra / ahorro</t>
        </is>
      </c>
      <c r="R10" s="7" t="inlineStr">
        <is>
          <t>México, Colombia, Argentina</t>
        </is>
      </c>
      <c r="S10" s="7" t="inlineStr">
        <is>
          <t>↑ (42→68 vs 30/09)</t>
        </is>
      </c>
      <c r="T10" s="7" t="inlineStr">
        <is>
          <t>https://www.facebook.com/ads/library/?id=1021274244315222</t>
        </is>
      </c>
      <c r="U10" s="7" t="inlineStr">
        <is>
          <t>Edad: la muestra actual solo muestra ≥4,9 d; se mantiene 10 d de la medición previa.</t>
        </is>
      </c>
      <c r="V10" s="7" t="inlineStr">
        <is>
          <t>2026-10-04</t>
        </is>
      </c>
    </row>
    <row r="11" ht="23.85" customHeight="1" s="5">
      <c r="A11" s="7" t="n">
        <v>11</v>
      </c>
      <c r="B11" s="7" t="inlineStr">
        <is>
          <t>MonteAgro (manuales técnicos de cultivo)</t>
        </is>
      </c>
      <c r="C11" s="7" t="inlineStr">
        <is>
          <t>Tu planilla 30/09</t>
        </is>
      </c>
      <c r="D11" s="7" t="inlineStr">
        <is>
          <t>Agro / manuales</t>
        </is>
      </c>
      <c r="E11" s="7" t="inlineStr">
        <is>
          <t>Manuales PDF + bonos</t>
        </is>
      </c>
      <c r="F11" s="7">
        <f>'Score detalle'!H11</f>
        <v/>
      </c>
      <c r="G11" s="7" t="inlineStr">
        <is>
          <t>Media</t>
        </is>
      </c>
      <c r="H11" s="7">
        <f>IF(F11&gt;=80,"🟢🟢 GANADOR FUERTE",IF(F11&gt;=60,"🟢 GANADOR",IF(F11&gt;=40,"🟡 POTENCIAL","🔴 DESCARTAR")))</f>
        <v/>
      </c>
      <c r="I11" s="7" t="n">
        <v>6.3</v>
      </c>
      <c r="J11" s="7" t="n">
        <v>108</v>
      </c>
      <c r="K11" s="7" t="n">
        <v>72</v>
      </c>
      <c r="L11" s="7" t="inlineStr">
        <is>
          <t>Colombia (12), México (11), PE/EC/GT/AR</t>
        </is>
      </c>
      <c r="M11" s="7" t="inlineStr">
        <is>
          <t>0 con la misma oferta</t>
        </is>
      </c>
      <c r="N11" s="7" t="inlineStr">
        <is>
          <t>No</t>
        </is>
      </c>
      <c r="O11" s="7" t="inlineStr">
        <is>
          <t>No detectado</t>
        </is>
      </c>
      <c r="P11" s="7" t="inlineStr">
        <is>
          <t>Productores 30-60 (mayoría hombres)</t>
        </is>
      </c>
      <c r="Q11" s="7" t="inlineStr">
        <is>
          <t>Resolver un problema concreto</t>
        </is>
      </c>
      <c r="R11" s="7" t="inlineStr">
        <is>
          <t>Colombia, Perú, México, Ecuador</t>
        </is>
      </c>
      <c r="S11" s="7" t="inlineStr">
        <is>
          <t>↑ (72→108)</t>
        </is>
      </c>
      <c r="T11" s="7" t="inlineStr">
        <is>
          <t>https://www.facebook.com/ads/library/?id=2204042687044153</t>
        </is>
      </c>
      <c r="U11" s="7" t="inlineStr">
        <is>
          <t>Casi sin competidores, pero edad todavía corta: aún no validado en el tiempo.</t>
        </is>
      </c>
      <c r="V11" s="7" t="inlineStr">
        <is>
          <t>2026-10-04</t>
        </is>
      </c>
    </row>
    <row r="12" ht="23.85" customHeight="1" s="5">
      <c r="A12" s="7" t="inlineStr">
        <is>
          <t>—</t>
        </is>
      </c>
      <c r="B12" s="7" t="inlineStr">
        <is>
          <t>Biblioteca Digital (planos y oficios)</t>
        </is>
      </c>
      <c r="C12" s="7" t="inlineStr">
        <is>
          <t>Mi búsqueda 04/10</t>
        </is>
      </c>
      <c r="D12" s="7" t="inlineStr">
        <is>
          <t>Oficios / planos</t>
        </is>
      </c>
      <c r="E12" s="7" t="inlineStr">
        <is>
          <t>Biblioteca de planos</t>
        </is>
      </c>
      <c r="F12" s="7">
        <f>'Score detalle'!H12</f>
        <v/>
      </c>
      <c r="G12" s="7" t="inlineStr">
        <is>
          <t>Media</t>
        </is>
      </c>
      <c r="H12" s="7">
        <f>IF(F12&gt;=80,"🟢🟢 GANADOR FUERTE",IF(F12&gt;=60,"🟢 GANADOR",IF(F12&gt;=40,"🟡 POTENCIAL","🔴 DESCARTAR")))</f>
        <v/>
      </c>
      <c r="I12" s="7" t="n">
        <v>3.1</v>
      </c>
      <c r="J12" s="7" t="n">
        <v>26</v>
      </c>
      <c r="K12" s="7" t="n">
        <v>26</v>
      </c>
      <c r="L12" s="7" t="inlineStr">
        <is>
          <t>USD</t>
        </is>
      </c>
      <c r="M12" s="7" t="inlineStr">
        <is>
          <t>4+ (Los Planos De Dios, Emprende Digital...)</t>
        </is>
      </c>
      <c r="N12" s="7" t="inlineStr">
        <is>
          <t>No</t>
        </is>
      </c>
      <c r="O12" s="7" t="inlineStr">
        <is>
          <t>No detectado</t>
        </is>
      </c>
      <c r="P12" s="7" t="inlineStr">
        <is>
          <t>Hombres 25-55 de oficios</t>
        </is>
      </c>
      <c r="Q12" s="7" t="inlineStr">
        <is>
          <t>Aprender oficio</t>
        </is>
      </c>
      <c r="R12" s="7" t="inlineStr">
        <is>
          <t>México o Perú (estimado)</t>
        </is>
      </c>
      <c r="S12" s="7" t="inlineStr">
        <is>
          <t>→ (26→26)</t>
        </is>
      </c>
      <c r="T12" s="7" t="inlineStr">
        <is>
          <t>https://www.facebook.com/ads/library/?id=29064207783177270</t>
        </is>
      </c>
      <c r="U12" s="7" t="inlineStr">
        <is>
          <t>Todo reciente.</t>
        </is>
      </c>
      <c r="V12" s="7" t="inlineStr">
        <is>
          <t>2026-10-04</t>
        </is>
      </c>
    </row>
    <row r="13" ht="23.85" customHeight="1" s="5">
      <c r="A13" s="7" t="inlineStr">
        <is>
          <t>—</t>
        </is>
      </c>
      <c r="B13" s="7" t="inlineStr">
        <is>
          <t>Amigurumi Navideño</t>
        </is>
      </c>
      <c r="C13" s="7" t="inlineStr">
        <is>
          <t>Tu planilla 30/09</t>
        </is>
      </c>
      <c r="D13" s="7" t="inlineStr">
        <is>
          <t>Crochet / amigurumi</t>
        </is>
      </c>
      <c r="E13" s="7" t="inlineStr">
        <is>
          <t>Patrones PDF</t>
        </is>
      </c>
      <c r="F13" s="7">
        <f>'Score detalle'!H13</f>
        <v/>
      </c>
      <c r="G13" s="7" t="inlineStr">
        <is>
          <t>Media</t>
        </is>
      </c>
      <c r="H13" s="7">
        <f>IF(F13&gt;=80,"🟢🟢 GANADOR FUERTE",IF(F13&gt;=60,"🟢 GANADOR",IF(F13&gt;=40,"🟡 POTENCIAL","🔴 DESCARTAR")))</f>
        <v/>
      </c>
      <c r="I13" s="7" t="n">
        <v>20.3</v>
      </c>
      <c r="J13" s="7" t="n">
        <v>15</v>
      </c>
      <c r="K13" s="7" t="n">
        <v>14</v>
      </c>
      <c r="L13" s="7" t="inlineStr">
        <is>
          <t>España (13) + LATAM (14) el 30/09; moneda BRL</t>
        </is>
      </c>
      <c r="M13" s="7" t="inlineStr">
        <is>
          <t>3 + 2 probables</t>
        </is>
      </c>
      <c r="N13" s="7" t="inlineStr">
        <is>
          <t>No</t>
        </is>
      </c>
      <c r="O13" s="7" t="inlineStr">
        <is>
          <t>Medio: '+2.632 reseñas' sin fuente</t>
        </is>
      </c>
      <c r="P13" s="7" t="inlineStr">
        <is>
          <t>Mujeres 35-65 que tejen</t>
        </is>
      </c>
      <c r="Q13" s="7" t="inlineStr">
        <is>
          <t>Hobby / regalos navideños</t>
        </is>
      </c>
      <c r="R13" s="7" t="inlineStr">
        <is>
          <t>España oct-dic</t>
        </is>
      </c>
      <c r="S13" s="7" t="inlineStr">
        <is>
          <t>→ (14→15)</t>
        </is>
      </c>
      <c r="T13" s="7" t="inlineStr">
        <is>
          <t>https://www.facebook.com/ads/library/?id=1099691303006877</t>
        </is>
      </c>
      <c r="U13" s="7" t="inlineStr">
        <is>
          <t>Estacional.</t>
        </is>
      </c>
      <c r="V13" s="7" t="inlineStr">
        <is>
          <t>2026-10-04</t>
        </is>
      </c>
    </row>
    <row r="14" ht="23.85" customHeight="1" s="5">
      <c r="A14" s="7" t="inlineStr">
        <is>
          <t>—</t>
        </is>
      </c>
      <c r="B14" s="7" t="inlineStr">
        <is>
          <t>Sofia Fernández (moldes de costura)</t>
        </is>
      </c>
      <c r="C14" s="7" t="inlineStr">
        <is>
          <t>Tu planilla 30/09</t>
        </is>
      </c>
      <c r="D14" s="7" t="inlineStr">
        <is>
          <t>Costura / moldes</t>
        </is>
      </c>
      <c r="E14" s="7" t="inlineStr">
        <is>
          <t>Megapack PDF</t>
        </is>
      </c>
      <c r="F14" s="7">
        <f>'Score detalle'!H14</f>
        <v/>
      </c>
      <c r="G14" s="7" t="inlineStr">
        <is>
          <t>Media</t>
        </is>
      </c>
      <c r="H14" s="7">
        <f>IF(F14&gt;=80,"🟢🟢 GANADOR FUERTE",IF(F14&gt;=60,"🟢 GANADOR",IF(F14&gt;=40,"🟡 POTENCIAL","🔴 DESCARTAR")))</f>
        <v/>
      </c>
      <c r="I14" s="7" t="n">
        <v>16</v>
      </c>
      <c r="J14" s="7" t="n">
        <v>47</v>
      </c>
      <c r="K14" s="7" t="n">
        <v>25</v>
      </c>
      <c r="L14" s="7" t="inlineStr">
        <is>
          <t>España (a confirmar); moneda USD</t>
        </is>
      </c>
      <c r="M14" s="7" t="inlineStr">
        <is>
          <t>25+ en la categoría</t>
        </is>
      </c>
      <c r="N14" s="7" t="inlineStr">
        <is>
          <t>Sí</t>
        </is>
      </c>
      <c r="O14" s="7" t="inlineStr">
        <is>
          <t>No visible</t>
        </is>
      </c>
      <c r="P14" s="7" t="inlineStr">
        <is>
          <t>Mujeres 35-65, costura como hobby</t>
        </is>
      </c>
      <c r="Q14" s="7" t="inlineStr">
        <is>
          <t>Hobby creativo</t>
        </is>
      </c>
      <c r="R14" s="7" t="inlineStr">
        <is>
          <t>España</t>
        </is>
      </c>
      <c r="S14" s="7" t="inlineStr">
        <is>
          <t>↑ (25→47)</t>
        </is>
      </c>
      <c r="T14" s="7" t="inlineStr">
        <is>
          <t>https://www.facebook.com/ads/library/?id=1084333387519565</t>
        </is>
      </c>
      <c r="U14" s="7" t="n"/>
      <c r="V14" s="7" t="inlineStr">
        <is>
          <t>2026-10-04</t>
        </is>
      </c>
    </row>
    <row r="15" ht="23.85" customHeight="1" s="5">
      <c r="A15" s="7" t="inlineStr">
        <is>
          <t>—</t>
        </is>
      </c>
      <c r="B15" s="7" t="inlineStr">
        <is>
          <t>Melissa Amicraft (amigurumi, pets por raza)</t>
        </is>
      </c>
      <c r="C15" s="7" t="inlineStr">
        <is>
          <t>Tu planilla 30/09</t>
        </is>
      </c>
      <c r="D15" s="7" t="inlineStr">
        <is>
          <t>Crochet / amigurumi</t>
        </is>
      </c>
      <c r="E15" s="7" t="inlineStr">
        <is>
          <t>Patrones PDF</t>
        </is>
      </c>
      <c r="F15" s="7">
        <f>'Score detalle'!H15</f>
        <v/>
      </c>
      <c r="G15" s="7" t="inlineStr">
        <is>
          <t>Media</t>
        </is>
      </c>
      <c r="H15" s="7">
        <f>IF(F15&gt;=80,"🟢🟢 GANADOR FUERTE",IF(F15&gt;=60,"🟢 GANADOR",IF(F15&gt;=40,"🟡 POTENCIAL","🔴 DESCARTAR")))</f>
        <v/>
      </c>
      <c r="I15" s="7" t="n">
        <v>6.4</v>
      </c>
      <c r="J15" s="7" t="n">
        <v>36</v>
      </c>
      <c r="K15" s="7" t="n">
        <v>26</v>
      </c>
      <c r="L15" s="7" t="inlineStr">
        <is>
          <t>España + Brasil (PT/ES); moneda BRL</t>
        </is>
      </c>
      <c r="M15" s="7" t="inlineStr">
        <is>
          <t>15+ en crochet</t>
        </is>
      </c>
      <c r="N15" s="7" t="inlineStr">
        <is>
          <t>Sí</t>
        </is>
      </c>
      <c r="O15" s="7" t="inlineStr">
        <is>
          <t>No</t>
        </is>
      </c>
      <c r="P15" s="7" t="inlineStr">
        <is>
          <t>Mujeres 30-60 que tejen; dueños de mascotas</t>
        </is>
      </c>
      <c r="Q15" s="7" t="inlineStr">
        <is>
          <t>Hobby / regalo</t>
        </is>
      </c>
      <c r="R15" s="7" t="inlineStr">
        <is>
          <t>España (cruza con mascotas)</t>
        </is>
      </c>
      <c r="S15" s="7" t="inlineStr">
        <is>
          <t>↑ (26→36)</t>
        </is>
      </c>
      <c r="T15" s="7" t="inlineStr">
        <is>
          <t>https://www.facebook.com/ads/library/?id=1124573633340085</t>
        </is>
      </c>
      <c r="U15" s="7" t="n"/>
      <c r="V15" s="7" t="inlineStr">
        <is>
          <t>2026-10-04</t>
        </is>
      </c>
    </row>
    <row r="16" ht="23.85" customHeight="1" s="5">
      <c r="A16" s="7" t="inlineStr">
        <is>
          <t>—</t>
        </is>
      </c>
      <c r="B16" s="7" t="inlineStr">
        <is>
          <t>Fermentados y kombucha (Escuela Vegetariana)</t>
        </is>
      </c>
      <c r="C16" s="7" t="inlineStr">
        <is>
          <t>Mi búsqueda 04/10</t>
        </is>
      </c>
      <c r="D16" s="7" t="inlineStr">
        <is>
          <t>Fermentados</t>
        </is>
      </c>
      <c r="E16" s="7" t="inlineStr">
        <is>
          <t>Curso online</t>
        </is>
      </c>
      <c r="F16" s="7">
        <f>'Score detalle'!H16</f>
        <v/>
      </c>
      <c r="G16" s="7" t="inlineStr">
        <is>
          <t>Media</t>
        </is>
      </c>
      <c r="H16" s="7">
        <f>IF(F16&gt;=80,"🟢🟢 GANADOR FUERTE",IF(F16&gt;=60,"🟢 GANADOR",IF(F16&gt;=40,"🟡 POTENCIAL","🔴 DESCARTAR")))</f>
        <v/>
      </c>
      <c r="I16" s="7" t="n">
        <v>129.5</v>
      </c>
      <c r="J16" s="7" t="n">
        <v>31</v>
      </c>
      <c r="K16" s="7" t="n">
        <v>5</v>
      </c>
      <c r="L16" s="7" t="inlineStr">
        <is>
          <t>EUR (España)</t>
        </is>
      </c>
      <c r="M16" s="7" t="inlineStr">
        <is>
          <t>1 (Dr. Grappin MX)</t>
        </is>
      </c>
      <c r="N16" s="7" t="inlineStr">
        <is>
          <t>No</t>
        </is>
      </c>
      <c r="O16" s="7" t="inlineStr">
        <is>
          <t>Riesgo medio: claims de probióticos</t>
        </is>
      </c>
      <c r="P16" s="7" t="inlineStr">
        <is>
          <t>Adultos 30-55 interesados en alimentación saludable</t>
        </is>
      </c>
      <c r="Q16" s="7" t="inlineStr">
        <is>
          <t>Aprender habilidad</t>
        </is>
      </c>
      <c r="R16" s="7" t="inlineStr">
        <is>
          <t>México/España</t>
        </is>
      </c>
      <c r="S16" s="7" t="inlineStr">
        <is>
          <t>→</t>
        </is>
      </c>
      <c r="T16" s="7" t="inlineStr">
        <is>
          <t>https://www.facebook.com/ads/library/?id=959183153555702</t>
        </is>
      </c>
      <c r="U16" s="7" t="inlineStr">
        <is>
          <t>31 anuncios, pero casi todos de catálogo dinámico; solo 3 propios de fermentación.</t>
        </is>
      </c>
      <c r="V16" s="7" t="inlineStr">
        <is>
          <t>2026-10-04</t>
        </is>
      </c>
    </row>
    <row r="17" ht="23.85" customHeight="1" s="5">
      <c r="A17" s="7" t="inlineStr">
        <is>
          <t>—</t>
        </is>
      </c>
      <c r="B17" s="7" t="inlineStr">
        <is>
          <t>MundoManuarte (velas artesanales)</t>
        </is>
      </c>
      <c r="C17" s="7" t="inlineStr">
        <is>
          <t>Tu planilla 30/09</t>
        </is>
      </c>
      <c r="D17" s="7" t="inlineStr">
        <is>
          <t>Velas artesanales</t>
        </is>
      </c>
      <c r="E17" s="7" t="inlineStr">
        <is>
          <t>Curso/pack + WhatsApp</t>
        </is>
      </c>
      <c r="F17" s="7">
        <f>'Score detalle'!H17</f>
        <v/>
      </c>
      <c r="G17" s="7" t="inlineStr">
        <is>
          <t>Media</t>
        </is>
      </c>
      <c r="H17" s="7">
        <f>IF(F17&gt;=80,"🟢🟢 GANADOR FUERTE",IF(F17&gt;=60,"🟢 GANADOR",IF(F17&gt;=40,"🟡 POTENCIAL","🔴 DESCARTAR")))</f>
        <v/>
      </c>
      <c r="I17" s="7" t="n">
        <v>76.90000000000001</v>
      </c>
      <c r="J17" s="7" t="n">
        <v>8</v>
      </c>
      <c r="K17" s="7" t="n">
        <v>9</v>
      </c>
      <c r="L17" s="7" t="inlineStr">
        <is>
          <t>No medido; moneda USD</t>
        </is>
      </c>
      <c r="M17" s="7" t="inlineStr">
        <is>
          <t>5 (por título)</t>
        </is>
      </c>
      <c r="N17" s="7" t="inlineStr">
        <is>
          <t>No</t>
        </is>
      </c>
      <c r="O17" s="7" t="inlineStr">
        <is>
          <t>No</t>
        </is>
      </c>
      <c r="P17" s="7" t="inlineStr">
        <is>
          <t>Mujeres 25-50 que quieren emprender desde casa</t>
        </is>
      </c>
      <c r="Q17" s="7" t="inlineStr">
        <is>
          <t>Ingresos extra</t>
        </is>
      </c>
      <c r="R17" s="7" t="inlineStr">
        <is>
          <t>No medido</t>
        </is>
      </c>
      <c r="S17" s="7" t="inlineStr">
        <is>
          <t>→ (9→8)</t>
        </is>
      </c>
      <c r="T17" s="7" t="inlineStr">
        <is>
          <t>https://www.facebook.com/ads/library/?id=1485691479934180</t>
        </is>
      </c>
      <c r="U17" s="7" t="inlineStr">
        <is>
          <t>Longevo pero pocos anuncios.</t>
        </is>
      </c>
      <c r="V17" s="7" t="inlineStr">
        <is>
          <t>2026-10-04</t>
        </is>
      </c>
    </row>
    <row r="18" ht="23.85" customHeight="1" s="5">
      <c r="A18" s="7" t="inlineStr">
        <is>
          <t>—</t>
        </is>
      </c>
      <c r="B18" s="7" t="inlineStr">
        <is>
          <t>Mentoría Global (empaques premium)</t>
        </is>
      </c>
      <c r="C18" s="7" t="inlineStr">
        <is>
          <t>Mi búsqueda 04/10</t>
        </is>
      </c>
      <c r="D18" s="7" t="inlineStr">
        <is>
          <t>Emprendimiento / empaques</t>
        </is>
      </c>
      <c r="E18" s="7" t="inlineStr">
        <is>
          <t>Plantillas y mentoría</t>
        </is>
      </c>
      <c r="F18" s="7">
        <f>'Score detalle'!H18</f>
        <v/>
      </c>
      <c r="G18" s="7" t="inlineStr">
        <is>
          <t>Media</t>
        </is>
      </c>
      <c r="H18" s="7">
        <f>IF(F18&gt;=80,"🟢🟢 GANADOR FUERTE",IF(F18&gt;=60,"🟢 GANADOR",IF(F18&gt;=40,"🟡 POTENCIAL","🔴 DESCARTAR")))</f>
        <v/>
      </c>
      <c r="I18" s="7" t="n">
        <v>3.1</v>
      </c>
      <c r="J18" s="7" t="n">
        <v>60</v>
      </c>
      <c r="K18" s="7" t="n">
        <v>60</v>
      </c>
      <c r="L18" s="7" t="inlineStr">
        <is>
          <t>USD</t>
        </is>
      </c>
      <c r="M18" s="7" t="inlineStr">
        <is>
          <t>0 idénticos</t>
        </is>
      </c>
      <c r="N18" s="7" t="inlineStr">
        <is>
          <t>No</t>
        </is>
      </c>
      <c r="O18" s="7" t="inlineStr">
        <is>
          <t>No detectado</t>
        </is>
      </c>
      <c r="P18" s="7" t="inlineStr">
        <is>
          <t>Emprendedoras de productos artesanales</t>
        </is>
      </c>
      <c r="Q18" s="7" t="inlineStr">
        <is>
          <t>Ingreso extra</t>
        </is>
      </c>
      <c r="R18" s="7" t="inlineStr">
        <is>
          <t>No medido</t>
        </is>
      </c>
      <c r="S18" s="7" t="inlineStr">
        <is>
          <t>→ (60→60)</t>
        </is>
      </c>
      <c r="T18" s="7" t="inlineStr">
        <is>
          <t>https://www.facebook.com/ads/library/?id=2053473725373198</t>
        </is>
      </c>
      <c r="U18" s="7" t="n"/>
      <c r="V18" s="7" t="inlineStr">
        <is>
          <t>2026-10-04</t>
        </is>
      </c>
    </row>
    <row r="19" ht="23.85" customHeight="1" s="5">
      <c r="A19" s="7" t="inlineStr">
        <is>
          <t>—</t>
        </is>
      </c>
      <c r="B19" s="7" t="inlineStr">
        <is>
          <t>Aprenda a Fazer Queijo (quesos)</t>
        </is>
      </c>
      <c r="C19" s="7" t="inlineStr">
        <is>
          <t>Mi búsqueda 04/10</t>
        </is>
      </c>
      <c r="D19" s="7" t="inlineStr">
        <is>
          <t>Quesos artesanales</t>
        </is>
      </c>
      <c r="E19" s="7" t="inlineStr">
        <is>
          <t>Curso online</t>
        </is>
      </c>
      <c r="F19" s="7">
        <f>'Score detalle'!H19</f>
        <v/>
      </c>
      <c r="G19" s="7" t="inlineStr">
        <is>
          <t>Baja</t>
        </is>
      </c>
      <c r="H19" s="7">
        <f>IF(F19&gt;=80,"🟢🟢 GANADOR FUERTE",IF(F19&gt;=60,"🟢 GANADOR",IF(F19&gt;=40,"🟡 POTENCIAL","🔴 DESCARTAR")))</f>
        <v/>
      </c>
      <c r="I19" s="7" t="n">
        <v>356</v>
      </c>
      <c r="J19" s="7" t="n">
        <v>8</v>
      </c>
      <c r="K19" s="7" t="n">
        <v>8</v>
      </c>
      <c r="L19" s="7" t="inlineStr">
        <is>
          <t>BRL; copy en español</t>
        </is>
      </c>
      <c r="M19" s="7" t="inlineStr">
        <is>
          <t>3 (1er chequeo)</t>
        </is>
      </c>
      <c r="N19" s="7" t="inlineStr">
        <is>
          <t>No</t>
        </is>
      </c>
      <c r="O19" s="7" t="inlineStr">
        <is>
          <t>No detectado</t>
        </is>
      </c>
      <c r="P19" s="7" t="inlineStr">
        <is>
          <t>Adultos 30-60</t>
        </is>
      </c>
      <c r="Q19" s="7" t="inlineStr">
        <is>
          <t>Ingreso extra / habilidad</t>
        </is>
      </c>
      <c r="R19" s="7" t="inlineStr">
        <is>
          <t>México o Perú (estimado)</t>
        </is>
      </c>
      <c r="S19" s="7" t="inlineStr">
        <is>
          <t>Sin dato hoy (página no encontrada)</t>
        </is>
      </c>
      <c r="T19" s="7" t="inlineStr">
        <is>
          <t>https://www.facebook.com/ads/library/?id=777761838222224</t>
        </is>
      </c>
      <c r="U19" s="7" t="inlineStr">
        <is>
          <t>No se pudo re-medir hoy; datos del 1er chequeo.</t>
        </is>
      </c>
      <c r="V19" s="7" t="inlineStr">
        <is>
          <t>2026-10-04</t>
        </is>
      </c>
    </row>
    <row r="20" ht="23.85" customHeight="1" s="5">
      <c r="A20" s="7" t="inlineStr">
        <is>
          <t>—</t>
        </is>
      </c>
      <c r="B20" s="7" t="inlineStr">
        <is>
          <t>Cursos de adiestramiento canino (EducaT Digital)</t>
        </is>
      </c>
      <c r="C20" s="7" t="inlineStr">
        <is>
          <t>Mi búsqueda 04/10</t>
        </is>
      </c>
      <c r="D20" s="7" t="inlineStr">
        <is>
          <t>Mascotas / adiestramiento</t>
        </is>
      </c>
      <c r="E20" s="7" t="inlineStr">
        <is>
          <t>Curso online low ticket</t>
        </is>
      </c>
      <c r="F20" s="7">
        <f>'Score detalle'!H20</f>
        <v/>
      </c>
      <c r="G20" s="7" t="inlineStr">
        <is>
          <t>Media</t>
        </is>
      </c>
      <c r="H20" s="7">
        <f>IF(F20&gt;=80,"🟢🟢 GANADOR FUERTE",IF(F20&gt;=60,"🟢 GANADOR",IF(F20&gt;=40,"🟡 POTENCIAL","🔴 DESCARTAR")))</f>
        <v/>
      </c>
      <c r="I20" s="7" t="n">
        <v>9.300000000000001</v>
      </c>
      <c r="J20" s="7" t="n">
        <v>3</v>
      </c>
      <c r="K20" s="7" t="n">
        <v>3</v>
      </c>
      <c r="L20" s="7" t="inlineStr">
        <is>
          <t>MXN</t>
        </is>
      </c>
      <c r="M20" s="7" t="inlineStr">
        <is>
          <t>~3 (Jack Store PE, Mundo Mascotas...)</t>
        </is>
      </c>
      <c r="N20" s="7" t="inlineStr">
        <is>
          <t>No</t>
        </is>
      </c>
      <c r="O20" s="7" t="inlineStr">
        <is>
          <t>No detectado</t>
        </is>
      </c>
      <c r="P20" s="7" t="inlineStr">
        <is>
          <t>Dueños de perros 25-50</t>
        </is>
      </c>
      <c r="Q20" s="7" t="inlineStr">
        <is>
          <t>Resolver un problema</t>
        </is>
      </c>
      <c r="R20" s="7" t="inlineStr">
        <is>
          <t>México</t>
        </is>
      </c>
      <c r="S20" s="7" t="inlineStr">
        <is>
          <t>↓ (ref. de 156 d ya no figura)</t>
        </is>
      </c>
      <c r="T20" s="7" t="inlineStr">
        <is>
          <t>https://www.facebook.com/ads/library/?id=1393020595713303</t>
        </is>
      </c>
      <c r="U20" s="7" t="inlineStr">
        <is>
          <t>Página con 11 anuncios, solo 3 del curso canino.</t>
        </is>
      </c>
      <c r="V20" s="7" t="inlineStr">
        <is>
          <t>2026-10-04</t>
        </is>
      </c>
    </row>
    <row r="21" ht="23.85" customHeight="1" s="5">
      <c r="A21" s="7" t="inlineStr">
        <is>
          <t>—</t>
        </is>
      </c>
      <c r="B21" s="7" t="inlineStr">
        <is>
          <t>Juana Castro (moldes de costura)</t>
        </is>
      </c>
      <c r="C21" s="7" t="inlineStr">
        <is>
          <t>Tu planilla 30/09</t>
        </is>
      </c>
      <c r="D21" s="7" t="inlineStr">
        <is>
          <t>Costura / moldes</t>
        </is>
      </c>
      <c r="E21" s="7" t="inlineStr">
        <is>
          <t>Megapack PDF</t>
        </is>
      </c>
      <c r="F21" s="7">
        <f>'Score detalle'!H21</f>
        <v/>
      </c>
      <c r="G21" s="7" t="inlineStr">
        <is>
          <t>Baja</t>
        </is>
      </c>
      <c r="H21" s="7">
        <f>IF(F21&gt;=80,"🟢🟢 GANADOR FUERTE",IF(F21&gt;=60,"🟢 GANADOR",IF(F21&gt;=40,"🟡 POTENCIAL","🔴 DESCARTAR")))</f>
        <v/>
      </c>
      <c r="I21" s="7" t="n">
        <v>3.4</v>
      </c>
      <c r="J21" s="7" t="n">
        <v>66</v>
      </c>
      <c r="K21" s="7" t="n">
        <v>66</v>
      </c>
      <c r="L21" s="7" t="inlineStr">
        <is>
          <t>España + inglés (30/09)</t>
        </is>
      </c>
      <c r="M21" s="7" t="inlineStr">
        <is>
          <t>25+ en la categoría</t>
        </is>
      </c>
      <c r="N21" s="7" t="inlineStr">
        <is>
          <t>Sí</t>
        </is>
      </c>
      <c r="O21" s="7" t="inlineStr">
        <is>
          <t>Medio: '+480 reseñas' sin fuente</t>
        </is>
      </c>
      <c r="P21" s="7" t="inlineStr">
        <is>
          <t>Mujeres 35-65</t>
        </is>
      </c>
      <c r="Q21" s="7" t="inlineStr">
        <is>
          <t>Aprender / hobby</t>
        </is>
      </c>
      <c r="R21" s="7" t="inlineStr">
        <is>
          <t>España</t>
        </is>
      </c>
      <c r="S21" s="7" t="inlineStr">
        <is>
          <t>↓ (66→0 hoy: no aparece)</t>
        </is>
      </c>
      <c r="T21" s="7" t="inlineStr">
        <is>
          <t>https://www.facebook.com/ads/library/?id=1103745219075117</t>
        </is>
      </c>
      <c r="U21" s="7" t="inlineStr">
        <is>
          <t>Hoy 0 resultados; datos del 30/09.</t>
        </is>
      </c>
      <c r="V21" s="7" t="inlineStr">
        <is>
          <t>2026-10-04</t>
        </is>
      </c>
    </row>
    <row r="22" ht="23.85" customHeight="1" s="5">
      <c r="A22" s="7" t="inlineStr">
        <is>
          <t>—</t>
        </is>
      </c>
      <c r="B22" s="7" t="inlineStr">
        <is>
          <t>NUVIA Recetario Digital</t>
        </is>
      </c>
      <c r="C22" s="7" t="inlineStr">
        <is>
          <t>Mi búsqueda 04/10</t>
        </is>
      </c>
      <c r="D22" s="7" t="inlineStr">
        <is>
          <t>Recetas / packaging</t>
        </is>
      </c>
      <c r="E22" s="7" t="inlineStr">
        <is>
          <t>Ebook bundle</t>
        </is>
      </c>
      <c r="F22" s="7">
        <f>'Score detalle'!H22</f>
        <v/>
      </c>
      <c r="G22" s="7" t="inlineStr">
        <is>
          <t>Media</t>
        </is>
      </c>
      <c r="H22" s="7">
        <f>IF(F22&gt;=80,"🟢🟢 GANADOR FUERTE",IF(F22&gt;=60,"🟢 GANADOR",IF(F22&gt;=40,"🟡 POTENCIAL","🔴 DESCARTAR")))</f>
        <v/>
      </c>
      <c r="I22" s="7" t="n">
        <v>5.6</v>
      </c>
      <c r="J22" s="7" t="n">
        <v>15</v>
      </c>
      <c r="K22" s="7" t="n">
        <v>3</v>
      </c>
      <c r="L22" s="7" t="inlineStr">
        <is>
          <t>USD y ARS</t>
        </is>
      </c>
      <c r="M22" s="7" t="inlineStr">
        <is>
          <t>0 idénticos</t>
        </is>
      </c>
      <c r="N22" s="7" t="inlineStr">
        <is>
          <t>No</t>
        </is>
      </c>
      <c r="O22" s="7" t="inlineStr">
        <is>
          <t>No detectado</t>
        </is>
      </c>
      <c r="P22" s="7" t="inlineStr">
        <is>
          <t>Emprendedoras de repostería</t>
        </is>
      </c>
      <c r="Q22" s="7" t="inlineStr">
        <is>
          <t>Ingreso extra</t>
        </is>
      </c>
      <c r="R22" s="7" t="inlineStr">
        <is>
          <t>Argentina</t>
        </is>
      </c>
      <c r="S22" s="7" t="inlineStr">
        <is>
          <t>↑ (3→15)</t>
        </is>
      </c>
      <c r="T22" s="7" t="inlineStr">
        <is>
          <t>https://www.facebook.com/ads/library/?id=4535732786648361</t>
        </is>
      </c>
      <c r="U22" s="7" t="inlineStr">
        <is>
          <t>Cambió de ángulo a moldes + packaging imprimibles.</t>
        </is>
      </c>
      <c r="V22" s="7" t="inlineStr">
        <is>
          <t>2026-10-04</t>
        </is>
      </c>
    </row>
    <row r="23" ht="23.85" customHeight="1" s="5">
      <c r="A23" s="7" t="inlineStr">
        <is>
          <t>—</t>
        </is>
      </c>
      <c r="B23" s="7" t="inlineStr">
        <is>
          <t>Habilidades Esenciales (pack 7 libros)</t>
        </is>
      </c>
      <c r="C23" s="7" t="inlineStr">
        <is>
          <t>Tu planilla 30/09</t>
        </is>
      </c>
      <c r="D23" s="7" t="inlineStr">
        <is>
          <t>Autosuficiencia</t>
        </is>
      </c>
      <c r="E23" s="7" t="inlineStr">
        <is>
          <t>Pack de libros</t>
        </is>
      </c>
      <c r="F23" s="7">
        <f>'Score detalle'!H23</f>
        <v/>
      </c>
      <c r="G23" s="7" t="inlineStr">
        <is>
          <t>Baja</t>
        </is>
      </c>
      <c r="H23" s="7">
        <f>IF(F23&gt;=80,"🟢🟢 GANADOR FUERTE",IF(F23&gt;=60,"🟢 GANADOR",IF(F23&gt;=40,"🟡 POTENCIAL","🔴 DESCARTAR")))</f>
        <v/>
      </c>
      <c r="I23" s="7" t="n">
        <v>3.6</v>
      </c>
      <c r="J23" s="7" t="n">
        <v>32</v>
      </c>
      <c r="K23" s="7" t="n">
        <v>32</v>
      </c>
      <c r="L23" s="7" t="inlineStr">
        <is>
          <t>Global (AR, ES, EE.UU., MX el 30/09)</t>
        </is>
      </c>
      <c r="M23" s="7" t="inlineStr">
        <is>
          <t>1 (+1 clon)</t>
        </is>
      </c>
      <c r="N23" s="7" t="inlineStr">
        <is>
          <t>No</t>
        </is>
      </c>
      <c r="O23" s="7" t="inlineStr">
        <is>
          <t>Medio: ganchos de miedo</t>
        </is>
      </c>
      <c r="P23" s="7" t="inlineStr">
        <is>
          <t>Hombres y mujeres 40-65 rurales/nostálgicos</t>
        </is>
      </c>
      <c r="Q23" s="7" t="inlineStr">
        <is>
          <t>Resolver un problema</t>
        </is>
      </c>
      <c r="R23" s="7" t="inlineStr">
        <is>
          <t>Colombia, México, Argentina</t>
        </is>
      </c>
      <c r="S23" s="7" t="inlineStr">
        <is>
          <t>Sin dato hoy (3 intentos sin hallar la página)</t>
        </is>
      </c>
      <c r="T23" s="7" t="inlineStr">
        <is>
          <t>https://www.facebook.com/ads/library/?id=2950078028696907</t>
        </is>
      </c>
      <c r="U23" s="7" t="inlineStr">
        <is>
          <t>No re-medido.</t>
        </is>
      </c>
      <c r="V23" s="7" t="inlineStr">
        <is>
          <t>2026-10-04</t>
        </is>
      </c>
    </row>
    <row r="24" ht="23.85" customHeight="1" s="5">
      <c r="A24" s="7" t="inlineStr">
        <is>
          <t>—</t>
        </is>
      </c>
      <c r="B24" s="7" t="inlineStr">
        <is>
          <t>She Fixed (reparaciones del hogar, inglés)</t>
        </is>
      </c>
      <c r="C24" s="7" t="inlineStr">
        <is>
          <t>Tu planilla 30/09</t>
        </is>
      </c>
      <c r="D24" s="7" t="inlineStr">
        <is>
          <t>Hogar / reparaciones</t>
        </is>
      </c>
      <c r="E24" s="7" t="inlineStr">
        <is>
          <t>Manual (EN)</t>
        </is>
      </c>
      <c r="F24" s="7">
        <f>'Score detalle'!H24</f>
        <v/>
      </c>
      <c r="G24" s="7" t="inlineStr">
        <is>
          <t>Baja</t>
        </is>
      </c>
      <c r="H24" s="7">
        <f>IF(F24&gt;=80,"🟢🟢 GANADOR FUERTE",IF(F24&gt;=60,"🟢 GANADOR",IF(F24&gt;=40,"🟡 POTENCIAL","🔴 DESCARTAR")))</f>
        <v/>
      </c>
      <c r="I24" s="7" t="n">
        <v>49.5</v>
      </c>
      <c r="J24" s="7" t="n">
        <v>20</v>
      </c>
      <c r="K24" s="7" t="n">
        <v>20</v>
      </c>
      <c r="L24" s="7" t="inlineStr">
        <is>
          <t>EE.UU. + GB/CA/AU/IE</t>
        </is>
      </c>
      <c r="M24" s="7" t="inlineStr">
        <is>
          <t>1 (sin versión en español)</t>
        </is>
      </c>
      <c r="N24" s="7" t="inlineStr">
        <is>
          <t>No</t>
        </is>
      </c>
      <c r="O24" s="7" t="inlineStr">
        <is>
          <t>No</t>
        </is>
      </c>
      <c r="P24" s="7" t="inlineStr">
        <is>
          <t>Mujeres 30-65 independientes</t>
        </is>
      </c>
      <c r="Q24" s="7" t="inlineStr">
        <is>
          <t>Resolver un problema</t>
        </is>
      </c>
      <c r="R24" s="7" t="inlineStr">
        <is>
          <t>España/Argentina/México (nadie lo vende en español)</t>
        </is>
      </c>
      <c r="S24" s="7" t="inlineStr">
        <is>
          <t>Sin dato hoy (5 intentos, también en estado ALL)</t>
        </is>
      </c>
      <c r="T24" s="7" t="inlineStr">
        <is>
          <t>https://www.facebook.com/ads/library/?id=1644153120559023</t>
        </is>
      </c>
      <c r="U24" s="7" t="inlineStr">
        <is>
          <t>En Polonia aparece un entrante similar: 'Ona to Naprawiła' (1 anuncio, &lt;1 d).</t>
        </is>
      </c>
      <c r="V24" s="7" t="inlineStr">
        <is>
          <t>2026-10-04</t>
        </is>
      </c>
    </row>
    <row r="25" ht="23.85" customHeight="1" s="5">
      <c r="A25" s="7" t="inlineStr">
        <is>
          <t>—</t>
        </is>
      </c>
      <c r="B25" s="7" t="inlineStr">
        <is>
          <t>Método Aprende y Emprende (repostería)</t>
        </is>
      </c>
      <c r="C25" s="7" t="inlineStr">
        <is>
          <t>Tu planilla 30/09</t>
        </is>
      </c>
      <c r="D25" s="7" t="inlineStr">
        <is>
          <t>Repostería para vender</t>
        </is>
      </c>
      <c r="E25" s="7" t="inlineStr">
        <is>
          <t>Recetario/curso</t>
        </is>
      </c>
      <c r="F25" s="7">
        <f>'Score detalle'!H25</f>
        <v/>
      </c>
      <c r="G25" s="7" t="inlineStr">
        <is>
          <t>Baja</t>
        </is>
      </c>
      <c r="H25" s="7">
        <f>IF(F25&gt;=80,"🟢🟢 GANADOR FUERTE",IF(F25&gt;=60,"🟢 GANADOR",IF(F25&gt;=40,"🟡 POTENCIAL","🔴 DESCARTAR")))</f>
        <v/>
      </c>
      <c r="I25" s="7" t="n">
        <v>55</v>
      </c>
      <c r="J25" s="7" t="n">
        <v>6</v>
      </c>
      <c r="K25" s="7" t="n">
        <v>6</v>
      </c>
      <c r="L25" s="7" t="inlineStr">
        <is>
          <t>No medido</t>
        </is>
      </c>
      <c r="M25" s="7" t="inlineStr">
        <is>
          <t>20+ (categoría)</t>
        </is>
      </c>
      <c r="N25" s="7" t="inlineStr">
        <is>
          <t>Sí</t>
        </is>
      </c>
      <c r="O25" s="7" t="inlineStr">
        <is>
          <t>No</t>
        </is>
      </c>
      <c r="P25" s="7" t="inlineStr">
        <is>
          <t>Mujeres 25-50</t>
        </is>
      </c>
      <c r="Q25" s="7" t="inlineStr">
        <is>
          <t>Ingresos extra</t>
        </is>
      </c>
      <c r="R25" s="7" t="inlineStr">
        <is>
          <t>No medido</t>
        </is>
      </c>
      <c r="S25" s="7" t="inlineStr">
        <is>
          <t>Sin dato hoy (página no hallada)</t>
        </is>
      </c>
      <c r="T25" s="7" t="inlineStr">
        <is>
          <t>https://www.facebook.com/ads/library/?id=1520776935928755</t>
        </is>
      </c>
      <c r="U25" s="7" t="inlineStr">
        <is>
          <t>No re-medido.</t>
        </is>
      </c>
      <c r="V25" s="7" t="inlineStr">
        <is>
          <t>2026-10-04</t>
        </is>
      </c>
    </row>
    <row r="26" ht="23.85" customHeight="1" s="5">
      <c r="A26" s="7" t="inlineStr">
        <is>
          <t>—</t>
        </is>
      </c>
      <c r="B26" s="7" t="inlineStr">
        <is>
          <t>EmprendeEbook (+70 recetas sin horno)</t>
        </is>
      </c>
      <c r="C26" s="7" t="inlineStr">
        <is>
          <t>Mi búsqueda 04/10</t>
        </is>
      </c>
      <c r="D26" s="7" t="inlineStr">
        <is>
          <t>Recetas / repostería</t>
        </is>
      </c>
      <c r="E26" s="7" t="inlineStr">
        <is>
          <t>Ebook de recetas</t>
        </is>
      </c>
      <c r="F26" s="7">
        <f>'Score detalle'!H26</f>
        <v/>
      </c>
      <c r="G26" s="7" t="inlineStr">
        <is>
          <t>Media</t>
        </is>
      </c>
      <c r="H26" s="7">
        <f>IF(F26&gt;=80,"🟢🟢 GANADOR FUERTE",IF(F26&gt;=60,"🟢 GANADOR",IF(F26&gt;=40,"🟡 POTENCIAL","🔴 DESCARTAR")))</f>
        <v/>
      </c>
      <c r="I26" s="7" t="n">
        <v>1.1</v>
      </c>
      <c r="J26" s="7" t="n">
        <v>7</v>
      </c>
      <c r="K26" s="7" t="n">
        <v>7</v>
      </c>
      <c r="L26" s="7" t="inlineStr">
        <is>
          <t>USD</t>
        </is>
      </c>
      <c r="M26" s="7" t="inlineStr">
        <is>
          <t>0 encontrados</t>
        </is>
      </c>
      <c r="N26" s="7" t="inlineStr">
        <is>
          <t>No</t>
        </is>
      </c>
      <c r="O26" s="7" t="inlineStr">
        <is>
          <t>No detectado</t>
        </is>
      </c>
      <c r="P26" s="7" t="inlineStr">
        <is>
          <t>Mujeres 25-55 en verano austral</t>
        </is>
      </c>
      <c r="Q26" s="7" t="inlineStr">
        <is>
          <t>Ahorro / ingreso extra</t>
        </is>
      </c>
      <c r="R26" s="7" t="inlineStr">
        <is>
          <t>Argentina (verano)</t>
        </is>
      </c>
      <c r="S26" s="7" t="inlineStr">
        <is>
          <t>→ (7→7)</t>
        </is>
      </c>
      <c r="T26" s="7" t="inlineStr">
        <is>
          <t>https://www.facebook.com/ads/library/?id=1121432810405652</t>
        </is>
      </c>
      <c r="U26" s="7" t="n"/>
      <c r="V26" s="7" t="inlineStr">
        <is>
          <t>2026-10-04</t>
        </is>
      </c>
    </row>
    <row r="27" ht="23.85" customHeight="1" s="5">
      <c r="A27" s="7" t="inlineStr">
        <is>
          <t>—</t>
        </is>
      </c>
      <c r="B27" s="7" t="inlineStr">
        <is>
          <t>NuBook / Cempra (paneles solares)</t>
        </is>
      </c>
      <c r="C27" s="7" t="inlineStr">
        <is>
          <t>Mi búsqueda 04/10</t>
        </is>
      </c>
      <c r="D27" s="7" t="inlineStr">
        <is>
          <t>Energía solar</t>
        </is>
      </c>
      <c r="E27" s="7" t="inlineStr">
        <is>
          <t>Curso/ebook low ticket</t>
        </is>
      </c>
      <c r="F27" s="7">
        <f>'Score detalle'!H27</f>
        <v/>
      </c>
      <c r="G27" s="7" t="inlineStr">
        <is>
          <t>Media</t>
        </is>
      </c>
      <c r="H27" s="7">
        <f>IF(F27&gt;=80,"🟢🟢 GANADOR FUERTE",IF(F27&gt;=60,"🟢 GANADOR",IF(F27&gt;=40,"🟡 POTENCIAL","🔴 DESCARTAR")))</f>
        <v/>
      </c>
      <c r="I27" s="7" t="n">
        <v>12.9</v>
      </c>
      <c r="J27" s="7" t="n">
        <v>6</v>
      </c>
      <c r="K27" s="7" t="n">
        <v>3</v>
      </c>
      <c r="L27" s="7" t="inlineStr">
        <is>
          <t>USD</t>
        </is>
      </c>
      <c r="M27" s="7" t="inlineStr">
        <is>
          <t>Competidores son cursos presenciales</t>
        </is>
      </c>
      <c r="N27" s="7" t="inlineStr">
        <is>
          <t>No</t>
        </is>
      </c>
      <c r="O27" s="7" t="inlineStr">
        <is>
          <t>No detectado</t>
        </is>
      </c>
      <c r="P27" s="7" t="inlineStr">
        <is>
          <t>Hombres 25-50 de oficios</t>
        </is>
      </c>
      <c r="Q27" s="7" t="inlineStr">
        <is>
          <t>Aprender oficio</t>
        </is>
      </c>
      <c r="R27" s="7" t="inlineStr">
        <is>
          <t>Perú o México (estimado)</t>
        </is>
      </c>
      <c r="S27" s="7" t="inlineStr">
        <is>
          <t>↑ (3→6)</t>
        </is>
      </c>
      <c r="T27" s="7" t="inlineStr">
        <is>
          <t>https://www.facebook.com/ads/library/?id=1728388291573918</t>
        </is>
      </c>
      <c r="U27" s="7" t="n"/>
      <c r="V27" s="7" t="inlineStr">
        <is>
          <t>2026-10-04</t>
        </is>
      </c>
    </row>
    <row r="28" ht="23.85" customHeight="1" s="5">
      <c r="A28" s="7" t="inlineStr">
        <is>
          <t>—</t>
        </is>
      </c>
      <c r="B28" s="7" t="inlineStr">
        <is>
          <t>The Knowhow Co. (multi mini-productos EE.UU.)</t>
        </is>
      </c>
      <c r="C28" s="7" t="inlineStr">
        <is>
          <t>Tu planilla 30/09</t>
        </is>
      </c>
      <c r="D28" s="7" t="inlineStr">
        <is>
          <t>Multitienda EE.UU.</t>
        </is>
      </c>
      <c r="E28" s="7" t="inlineStr">
        <is>
          <t>Mini-productos $37</t>
        </is>
      </c>
      <c r="F28" s="7">
        <f>'Score detalle'!H28</f>
        <v/>
      </c>
      <c r="G28" s="7" t="inlineStr">
        <is>
          <t>Baja</t>
        </is>
      </c>
      <c r="H28" s="7">
        <f>IF(F28&gt;=80,"🟢🟢 GANADOR FUERTE",IF(F28&gt;=60,"🟢 GANADOR",IF(F28&gt;=40,"🟡 POTENCIAL","🔴 DESCARTAR")))</f>
        <v/>
      </c>
      <c r="I28" s="7" t="n">
        <v>4.1</v>
      </c>
      <c r="J28" s="7" t="n">
        <v>2</v>
      </c>
      <c r="K28" s="7" t="n">
        <v>89</v>
      </c>
      <c r="L28" s="7" t="inlineStr">
        <is>
          <t>EE.UU.</t>
        </is>
      </c>
      <c r="M28" s="7" t="inlineStr">
        <is>
          <t>N/A</t>
        </is>
      </c>
      <c r="N28" s="7" t="inlineStr">
        <is>
          <t>No</t>
        </is>
      </c>
      <c r="O28" s="7" t="inlineStr">
        <is>
          <t>Medio: tema legal sensible</t>
        </is>
      </c>
      <c r="P28" s="7" t="inlineStr">
        <is>
          <t>Varios</t>
        </is>
      </c>
      <c r="Q28" s="7" t="inlineStr">
        <is>
          <t>Varía</t>
        </is>
      </c>
      <c r="R28" s="7" t="inlineStr">
        <is>
          <t>EE.UU.</t>
        </is>
      </c>
      <c r="S28" s="7" t="inlineStr">
        <is>
          <t>↓ (89→2; posible otra página)</t>
        </is>
      </c>
      <c r="T28" s="7" t="inlineStr">
        <is>
          <t>https://www.facebook.com/ads/library/?id=2180057416221838</t>
        </is>
      </c>
      <c r="U28" s="7" t="inlineStr">
        <is>
          <t>Referencia de modelo de negocio, no de producto.</t>
        </is>
      </c>
      <c r="V28" s="7" t="inlineStr">
        <is>
          <t>2026-10-04</t>
        </is>
      </c>
    </row>
    <row r="29" ht="57.45" customHeight="1" s="5">
      <c r="A29" s="7" t="inlineStr">
        <is>
          <t>—</t>
        </is>
      </c>
      <c r="B29" s="7" t="inlineStr">
        <is>
          <t>Geriactiva (biblioteca +1000 recursos para tercera edad)</t>
        </is>
      </c>
      <c r="C29" s="7" t="inlineStr">
        <is>
          <t>Pedido tuyo 04/10</t>
        </is>
      </c>
      <c r="D29" s="7" t="inlineStr">
        <is>
          <t>Adultos mayores / estimulación cognitiva</t>
        </is>
      </c>
      <c r="E29" s="7" t="inlineStr">
        <is>
          <t>Biblioteca de recursos/actividades PDF</t>
        </is>
      </c>
      <c r="F29" s="7">
        <f>'Score detalle'!H29</f>
        <v/>
      </c>
      <c r="G29" s="7" t="inlineStr">
        <is>
          <t>Media</t>
        </is>
      </c>
      <c r="H29" s="7">
        <f>IF(F29&gt;=80,"🟢🟢 GANADOR FUERTE",IF(F29&gt;=60,"🟢 GANADOR",IF(F29&gt;=40,"🟡 POTENCIAL","🔴 DESCARTAR")))</f>
        <v/>
      </c>
      <c r="I29" s="7" t="n">
        <v>3.2</v>
      </c>
      <c r="J29" s="7" t="n">
        <v>182</v>
      </c>
      <c r="K29" s="7" t="inlineStr">
        <is>
          <t>—</t>
        </is>
      </c>
      <c r="L29" s="7" t="inlineStr">
        <is>
          <t>Moneda USD; países no medidos</t>
        </is>
      </c>
      <c r="M29" s="7" t="inlineStr">
        <is>
          <t>6+ (Academia Digital +1000 actividades, Mente Activa 7 cuadernillos, Mente activa AR, Campo Psi Recursos AR, Mente Despierta BR, ActivaSenior ES)</t>
        </is>
      </c>
      <c r="N29" s="7" t="inlineStr">
        <is>
          <t>No</t>
        </is>
      </c>
      <c r="O29" s="7" t="inlineStr">
        <is>
          <t>No detectado</t>
        </is>
      </c>
      <c r="P29" s="7" t="inlineStr">
        <is>
          <t>Terapeutas ocupacionales, animadores de geriátricos y cuidadores (por los títulos: 'armar la sesión desde cero'); familiares</t>
        </is>
      </c>
      <c r="Q29" s="7" t="inlineStr">
        <is>
          <t>Resolver un problema / ahorrar tiempo</t>
        </is>
      </c>
      <c r="R29" s="7" t="inlineStr">
        <is>
          <t>Argentina (hay competidores locales en ARS y muchas residencias geriátricas) y México</t>
        </is>
      </c>
      <c r="S29" s="7" t="inlineStr">
        <is>
          <t>Primer chequeo</t>
        </is>
      </c>
      <c r="T29" s="7" t="inlineStr">
        <is>
          <t>https://www.facebook.com/ads/library/?id=2363989227680463</t>
        </is>
      </c>
      <c r="U29" s="7" t="inlineStr">
        <is>
          <t>Los anuncios más viejos vistos son de hace ~3 días (muestra de 50 de 182); 3 ángulos: '+3000 profesionales lo recomiendan', 'biblioteca +1000', 'deja de armar la sesión'. Hay que re-chequear en 7 días.</t>
        </is>
      </c>
      <c r="V29" s="7" t="inlineStr">
        <is>
          <t>2026-10-04</t>
        </is>
      </c>
    </row>
    <row r="30" ht="23.85" customHeight="1" s="5">
      <c r="A30" s="7" t="inlineStr">
        <is>
          <t>—</t>
        </is>
      </c>
      <c r="B30" s="7" t="inlineStr">
        <is>
          <t>Šicí cirkus (patrones y cursos de costura, Chequia)</t>
        </is>
      </c>
      <c r="C30" s="7" t="inlineStr">
        <is>
          <t>Mi búsqueda Europa del Este 04/10</t>
        </is>
      </c>
      <c r="D30" s="7" t="inlineStr">
        <is>
          <t>Costura / patrones</t>
        </is>
      </c>
      <c r="E30" s="7" t="inlineStr">
        <is>
          <t>Patrones PDF + cursos</t>
        </is>
      </c>
      <c r="F30" s="7">
        <f>'Score detalle'!H30</f>
        <v/>
      </c>
      <c r="G30" s="7" t="inlineStr">
        <is>
          <t>Baja</t>
        </is>
      </c>
      <c r="H30" s="7">
        <f>IF(F30&gt;=80,"🟢🟢 GANADOR FUERTE",IF(F30&gt;=60,"🟢 GANADOR",IF(F30&gt;=40,"🟡 POTENCIAL","🔴 DESCARTAR")))</f>
        <v/>
      </c>
      <c r="I30" s="7" t="n">
        <v>167</v>
      </c>
      <c r="J30" s="7" t="n">
        <v>16</v>
      </c>
      <c r="K30" s="7" t="inlineStr">
        <is>
          <t>—</t>
        </is>
      </c>
      <c r="L30" s="7" t="inlineStr">
        <is>
          <t>Chequia (CZK)</t>
        </is>
      </c>
      <c r="M30" s="7" t="inlineStr">
        <is>
          <t>3 (Šicí cirkus, Dnes šiju, Duchajda)</t>
        </is>
      </c>
      <c r="N30" s="7" t="inlineStr">
        <is>
          <t>No</t>
        </is>
      </c>
      <c r="O30" s="7" t="inlineStr">
        <is>
          <t>No detectado</t>
        </is>
      </c>
      <c r="P30" s="7" t="inlineStr">
        <is>
          <t>Mujeres que cosen</t>
        </is>
      </c>
      <c r="Q30" s="7" t="inlineStr">
        <is>
          <t>Hobby / oficio</t>
        </is>
      </c>
      <c r="R30" s="7" t="inlineStr">
        <is>
          <t>Chequia (único mercado del Este con señal)</t>
        </is>
      </c>
      <c r="S30" s="7" t="inlineStr">
        <is>
          <t>Primer chequeo</t>
        </is>
      </c>
      <c r="T30" s="7" t="inlineStr">
        <is>
          <t>https://www.facebook.com/ads/library/?id=3425652864278046</t>
        </is>
      </c>
      <c r="U30" s="7" t="inlineStr">
        <is>
          <t>Única señal real en Europa del Este; solo 1 anunciante sólido.</t>
        </is>
      </c>
      <c r="V30" s="7" t="inlineStr">
        <is>
          <t>2026-10-04</t>
        </is>
      </c>
    </row>
    <row r="31" ht="35.05" customHeight="1" s="5">
      <c r="A31" s="7" t="n">
        <v>2</v>
      </c>
      <c r="B31" s="7" t="inlineStr">
        <is>
          <t>OctoMaps (idiomas con mapas mentales: italiano, alemán)</t>
        </is>
      </c>
      <c r="C31" s="7" t="inlineStr">
        <is>
          <t>Tu pedido 04/10</t>
        </is>
      </c>
      <c r="D31" s="7" t="inlineStr">
        <is>
          <t>Idiomas</t>
        </is>
      </c>
      <c r="E31" s="7" t="inlineStr">
        <is>
          <t>Pack de mapas mentales (+300)</t>
        </is>
      </c>
      <c r="F31" s="7">
        <f>'Score detalle'!H31</f>
        <v/>
      </c>
      <c r="G31" s="7" t="inlineStr">
        <is>
          <t>Media</t>
        </is>
      </c>
      <c r="H31" s="7">
        <f>IF(F31&gt;=80,"🟢🟢 GANADOR FUERTE",IF(F31&gt;=60,"🟢 GANADOR",IF(F31&gt;=40,"🟡 POTENCIAL","🔴 DESCARTAR")))</f>
        <v/>
      </c>
      <c r="I31" s="7" t="n">
        <v>58.4</v>
      </c>
      <c r="J31" s="7" t="n">
        <v>25</v>
      </c>
      <c r="K31" s="7" t="inlineStr">
        <is>
          <t>—</t>
        </is>
      </c>
      <c r="L31" s="7" t="inlineStr">
        <is>
          <t>Moneda USD; copy en español (países no medidos)</t>
        </is>
      </c>
      <c r="M31" s="7" t="inlineStr">
        <is>
          <t>2 (Maria, japonés +300 mapas mentales BRL; Tu Rincón de Idiomas MX, no idéntico)</t>
        </is>
      </c>
      <c r="N31" s="7" t="inlineStr">
        <is>
          <t>No</t>
        </is>
      </c>
      <c r="O31" s="7" t="inlineStr">
        <is>
          <t>No detectado</t>
        </is>
      </c>
      <c r="P31" s="7" t="inlineStr">
        <is>
          <t>Adultos 20-50 que quieren aprender un idioma rápido</t>
        </is>
      </c>
      <c r="Q31" s="7" t="inlineStr">
        <is>
          <t>Aprender una habilidad</t>
        </is>
      </c>
      <c r="R31" s="7" t="inlineStr">
        <is>
          <t>Argentina (italiano/alemán), México, España</t>
        </is>
      </c>
      <c r="S31" s="7" t="inlineStr">
        <is>
          <t>Primer chequeo</t>
        </is>
      </c>
      <c r="T31" s="7" t="inlineStr">
        <is>
          <t>https://www.facebook.com/ads/library/?id=1425862966088854</t>
        </is>
      </c>
      <c r="U31" s="7" t="inlineStr">
        <is>
          <t>Cumple los 3 filtros: &gt;20 días (58), &gt;15 anuncios (25), pocos clones. Vi los 25 anuncios completos. Precio no visible.</t>
        </is>
      </c>
      <c r="V31" s="7" t="inlineStr">
        <is>
          <t>2026-10-04</t>
        </is>
      </c>
    </row>
    <row r="32" ht="46.25" customHeight="1" s="5">
      <c r="A32" s="7" t="inlineStr">
        <is>
          <t>Vigilar</t>
        </is>
      </c>
      <c r="B32" s="7" t="inlineStr">
        <is>
          <t>Geriactiva (biblioteca +1000 actividades para tercera edad)</t>
        </is>
      </c>
      <c r="C32" s="7" t="inlineStr">
        <is>
          <t>Tu pedido 04/10</t>
        </is>
      </c>
      <c r="D32" s="7" t="inlineStr">
        <is>
          <t>Tercera edad / estimulación cognitiva</t>
        </is>
      </c>
      <c r="E32" s="7" t="inlineStr">
        <is>
          <t>Biblioteca de actividades PDF</t>
        </is>
      </c>
      <c r="F32" s="7">
        <f>'Score detalle'!H32</f>
        <v/>
      </c>
      <c r="G32" s="7" t="inlineStr">
        <is>
          <t>Media</t>
        </is>
      </c>
      <c r="H32" s="7">
        <f>IF(F32&gt;=80,"🟢🟢 GANADOR FUERTE",IF(F32&gt;=60,"🟢 GANADOR",IF(F32&gt;=40,"🟡 POTENCIAL","🔴 DESCARTAR")))</f>
        <v/>
      </c>
      <c r="I32" s="7" t="n">
        <v>3.2</v>
      </c>
      <c r="J32" s="7" t="n">
        <v>181</v>
      </c>
      <c r="K32" s="7" t="inlineStr">
        <is>
          <t>—</t>
        </is>
      </c>
      <c r="L32" s="7" t="inlineStr">
        <is>
          <t>Moneda USD (países no medidos)</t>
        </is>
      </c>
      <c r="M32" s="7" t="inlineStr">
        <is>
          <t>7+ con oferta casi idéntica (Mente activa AR, Academia Digital, Mente Activa, Mente Despierta BR, ActivaSenior ES, Vida Plena BR, Activa tu mente CL)</t>
        </is>
      </c>
      <c r="N32" s="7" t="inlineStr">
        <is>
          <t>Sí (ola de clones recién lanzados)</t>
        </is>
      </c>
      <c r="O32" s="7" t="inlineStr">
        <is>
          <t>Medio: '+3000 profesionales lo recomiendan' sin fuente</t>
        </is>
      </c>
      <c r="P32" s="7" t="inlineStr">
        <is>
          <t>Terapeutas ocupacionales, cuidadores y familiares de adultos mayores</t>
        </is>
      </c>
      <c r="Q32" s="7" t="inlineStr">
        <is>
          <t>Resolver un problema concreto / profesión</t>
        </is>
      </c>
      <c r="R32" s="7" t="inlineStr">
        <is>
          <t>Argentina (hay un competidor local en ARS), Chile, España</t>
        </is>
      </c>
      <c r="S32" s="7" t="inlineStr">
        <is>
          <t>Primer chequeo</t>
        </is>
      </c>
      <c r="T32" s="7" t="inlineStr">
        <is>
          <t>https://www.facebook.com/ads/library/?id=2363989227680463</t>
        </is>
      </c>
      <c r="U32" s="7" t="inlineStr">
        <is>
          <t>181 anuncios pero solo ≥3,2 días visibles: todo el rubro lanzó en los últimos días. Es ola reciente, no validación en el tiempo.</t>
        </is>
      </c>
      <c r="V32" s="7" t="inlineStr">
        <is>
          <t>2026-10-04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4" min="1" max="1"/>
    <col width="16" customWidth="1" style="4" min="2" max="8"/>
  </cols>
  <sheetData>
    <row r="1" ht="23.85" customHeight="1" s="5">
      <c r="A1" s="6" t="inlineStr">
        <is>
          <t>Producto</t>
        </is>
      </c>
      <c r="B1" s="6" t="inlineStr">
        <is>
          <t>Antigüedad (máx 20)</t>
        </is>
      </c>
      <c r="C1" s="6" t="inlineStr">
        <is>
          <t>Volumen (máx 20)</t>
        </is>
      </c>
      <c r="D1" s="6" t="inlineStr">
        <is>
          <t>Alcance (máx 15)</t>
        </is>
      </c>
      <c r="E1" s="6" t="inlineStr">
        <is>
          <t>Diversidad creativa (máx 10)</t>
        </is>
      </c>
      <c r="F1" s="6" t="inlineStr">
        <is>
          <t>Clonado (máx 20)</t>
        </is>
      </c>
      <c r="G1" s="6" t="inlineStr">
        <is>
          <t>Funnel (máx 15)</t>
        </is>
      </c>
      <c r="H1" s="6" t="inlineStr">
        <is>
          <t>Score total</t>
        </is>
      </c>
    </row>
    <row r="2" ht="23.85" customHeight="1" s="5">
      <c r="A2" s="7" t="inlineStr">
        <is>
          <t>Aprende y Emprende (moldes de cuero y bolsos, voseo)</t>
        </is>
      </c>
      <c r="B2" s="7" t="n">
        <v>20</v>
      </c>
      <c r="C2" s="7" t="n">
        <v>20</v>
      </c>
      <c r="D2" s="7" t="n">
        <v>5</v>
      </c>
      <c r="E2" s="7" t="n">
        <v>7</v>
      </c>
      <c r="F2" s="7" t="n">
        <v>15</v>
      </c>
      <c r="G2" s="7" t="n">
        <v>0</v>
      </c>
      <c r="H2" s="7">
        <f>SUM(B2:G2)</f>
        <v/>
      </c>
    </row>
    <row r="3" ht="15" customHeight="1" s="5">
      <c r="A3" s="7" t="inlineStr">
        <is>
          <t>Udemia.IA (mini-cursos 'Dominá X en 7 días')</t>
        </is>
      </c>
      <c r="B3" s="7" t="n">
        <v>5</v>
      </c>
      <c r="C3" s="7" t="n">
        <v>20</v>
      </c>
      <c r="D3" s="7" t="n">
        <v>15</v>
      </c>
      <c r="E3" s="7" t="n">
        <v>10</v>
      </c>
      <c r="F3" s="7" t="n">
        <v>20</v>
      </c>
      <c r="G3" s="7" t="n">
        <v>0</v>
      </c>
      <c r="H3" s="7">
        <f>SUM(B3:G3)</f>
        <v/>
      </c>
    </row>
    <row r="4" ht="15" customHeight="1" s="5">
      <c r="A4" s="7" t="inlineStr">
        <is>
          <t>Navidad Creativa</t>
        </is>
      </c>
      <c r="B4" s="7" t="n">
        <v>20</v>
      </c>
      <c r="C4" s="7" t="n">
        <v>20</v>
      </c>
      <c r="D4" s="7" t="n">
        <v>5</v>
      </c>
      <c r="E4" s="7" t="n">
        <v>6</v>
      </c>
      <c r="F4" s="7" t="n">
        <v>15</v>
      </c>
      <c r="G4" s="7" t="n">
        <v>0</v>
      </c>
      <c r="H4" s="7">
        <f>SUM(B4:G4)</f>
        <v/>
      </c>
    </row>
    <row r="5" ht="15" customHeight="1" s="5">
      <c r="A5" s="7" t="inlineStr">
        <is>
          <t>Emprende con Arte (crochet 70% OFF)</t>
        </is>
      </c>
      <c r="B5" s="7" t="n">
        <v>20</v>
      </c>
      <c r="C5" s="7" t="n">
        <v>20</v>
      </c>
      <c r="D5" s="7" t="n">
        <v>5</v>
      </c>
      <c r="E5" s="7" t="n">
        <v>3</v>
      </c>
      <c r="F5" s="7" t="n">
        <v>15</v>
      </c>
      <c r="G5" s="7" t="n">
        <v>0</v>
      </c>
      <c r="H5" s="7">
        <f>SUM(B5:G5)</f>
        <v/>
      </c>
    </row>
    <row r="6" ht="23.85" customHeight="1" s="5">
      <c r="A6" s="7" t="inlineStr">
        <is>
          <t>Conocimiento Digital (megapack moldes de costura)</t>
        </is>
      </c>
      <c r="B6" s="7" t="n">
        <v>20</v>
      </c>
      <c r="C6" s="7" t="n">
        <v>20</v>
      </c>
      <c r="D6" s="7" t="n">
        <v>10</v>
      </c>
      <c r="E6" s="7" t="n">
        <v>2</v>
      </c>
      <c r="F6" s="7" t="n">
        <v>12</v>
      </c>
      <c r="G6" s="7" t="n">
        <v>0</v>
      </c>
      <c r="H6" s="7">
        <f>SUM(B6:G6)</f>
        <v/>
      </c>
    </row>
    <row r="7" ht="15" customHeight="1" s="5">
      <c r="A7" s="7" t="inlineStr">
        <is>
          <t>Carpintería para todos</t>
        </is>
      </c>
      <c r="B7" s="7" t="n">
        <v>10</v>
      </c>
      <c r="C7" s="7" t="n">
        <v>20</v>
      </c>
      <c r="D7" s="7" t="n">
        <v>5</v>
      </c>
      <c r="E7" s="7" t="n">
        <v>3</v>
      </c>
      <c r="F7" s="7" t="n">
        <v>20</v>
      </c>
      <c r="G7" s="7" t="n">
        <v>0</v>
      </c>
      <c r="H7" s="7">
        <f>SUM(B7:G7)</f>
        <v/>
      </c>
    </row>
    <row r="8" ht="15" customHeight="1" s="5">
      <c r="A8" s="7" t="inlineStr">
        <is>
          <t>La Biblioteca Definitiva De Tejido</t>
        </is>
      </c>
      <c r="B8" s="7" t="n">
        <v>20</v>
      </c>
      <c r="C8" s="7" t="n">
        <v>20</v>
      </c>
      <c r="D8" s="7" t="n">
        <v>5</v>
      </c>
      <c r="E8" s="7" t="n">
        <v>3</v>
      </c>
      <c r="F8" s="7" t="n">
        <v>15</v>
      </c>
      <c r="G8" s="7" t="n">
        <v>0</v>
      </c>
      <c r="H8" s="7">
        <f>SUM(B8:G8)</f>
        <v/>
      </c>
    </row>
    <row r="9" ht="15" customHeight="1" s="5">
      <c r="A9" s="7" t="inlineStr">
        <is>
          <t>Mundo Creativo (+2000 moldes goma eva)</t>
        </is>
      </c>
      <c r="B9" s="7" t="n">
        <v>20</v>
      </c>
      <c r="C9" s="7" t="n">
        <v>20</v>
      </c>
      <c r="D9" s="7" t="n">
        <v>5</v>
      </c>
      <c r="E9" s="7" t="n">
        <v>3</v>
      </c>
      <c r="F9" s="7" t="n">
        <v>15</v>
      </c>
      <c r="G9" s="7" t="n">
        <v>0</v>
      </c>
      <c r="H9" s="7">
        <f>SUM(B9:G9)</f>
        <v/>
      </c>
    </row>
    <row r="10" ht="15" customHeight="1" s="5">
      <c r="A10" s="7" t="inlineStr">
        <is>
          <t>1500 Moldes de Costura</t>
        </is>
      </c>
      <c r="B10" s="7" t="n">
        <v>10</v>
      </c>
      <c r="C10" s="7" t="n">
        <v>20</v>
      </c>
      <c r="D10" s="7" t="n">
        <v>15</v>
      </c>
      <c r="E10" s="7" t="n">
        <v>4</v>
      </c>
      <c r="F10" s="7" t="n">
        <v>12</v>
      </c>
      <c r="G10" s="7" t="n">
        <v>0</v>
      </c>
      <c r="H10" s="7">
        <f>SUM(B10:G10)</f>
        <v/>
      </c>
    </row>
    <row r="11" ht="15" customHeight="1" s="5">
      <c r="A11" s="7" t="inlineStr">
        <is>
          <t>MonteAgro (manuales técnicos de cultivo)</t>
        </is>
      </c>
      <c r="B11" s="7" t="n">
        <v>5</v>
      </c>
      <c r="C11" s="7" t="n">
        <v>20</v>
      </c>
      <c r="D11" s="7" t="n">
        <v>15</v>
      </c>
      <c r="E11" s="7" t="n">
        <v>10</v>
      </c>
      <c r="F11" s="7" t="n">
        <v>5</v>
      </c>
      <c r="G11" s="7" t="n">
        <v>0</v>
      </c>
      <c r="H11" s="7">
        <f>SUM(B11:G11)</f>
        <v/>
      </c>
    </row>
    <row r="12" ht="15" customHeight="1" s="5">
      <c r="A12" s="7" t="inlineStr">
        <is>
          <t>Biblioteca Digital (planos y oficios)</t>
        </is>
      </c>
      <c r="B12" s="7" t="n">
        <v>5</v>
      </c>
      <c r="C12" s="7" t="n">
        <v>20</v>
      </c>
      <c r="D12" s="7" t="n">
        <v>5</v>
      </c>
      <c r="E12" s="7" t="n">
        <v>10</v>
      </c>
      <c r="F12" s="7" t="n">
        <v>15</v>
      </c>
      <c r="G12" s="7" t="n">
        <v>0</v>
      </c>
      <c r="H12" s="7">
        <f>SUM(B12:G12)</f>
        <v/>
      </c>
    </row>
    <row r="13" ht="15" customHeight="1" s="5">
      <c r="A13" s="7" t="inlineStr">
        <is>
          <t>Amigurumi Navideño</t>
        </is>
      </c>
      <c r="B13" s="7" t="n">
        <v>20</v>
      </c>
      <c r="C13" s="7" t="n">
        <v>10</v>
      </c>
      <c r="D13" s="7" t="n">
        <v>10</v>
      </c>
      <c r="E13" s="7" t="n">
        <v>2</v>
      </c>
      <c r="F13" s="7" t="n">
        <v>15</v>
      </c>
      <c r="G13" s="7" t="n">
        <v>0</v>
      </c>
      <c r="H13" s="7">
        <f>SUM(B13:G13)</f>
        <v/>
      </c>
    </row>
    <row r="14" ht="15" customHeight="1" s="5">
      <c r="A14" s="7" t="inlineStr">
        <is>
          <t>Sofia Fernández (moldes de costura)</t>
        </is>
      </c>
      <c r="B14" s="7" t="n">
        <v>20</v>
      </c>
      <c r="C14" s="7" t="n">
        <v>20</v>
      </c>
      <c r="D14" s="7" t="n">
        <v>5</v>
      </c>
      <c r="E14" s="7" t="n">
        <v>2</v>
      </c>
      <c r="F14" s="7" t="n">
        <v>12</v>
      </c>
      <c r="G14" s="7" t="n">
        <v>0</v>
      </c>
      <c r="H14" s="7">
        <f>SUM(B14:G14)</f>
        <v/>
      </c>
    </row>
    <row r="15" ht="15" customHeight="1" s="5">
      <c r="A15" s="7" t="inlineStr">
        <is>
          <t>Melissa Amicraft (amigurumi, pets por raza)</t>
        </is>
      </c>
      <c r="B15" s="7" t="n">
        <v>5</v>
      </c>
      <c r="C15" s="7" t="n">
        <v>20</v>
      </c>
      <c r="D15" s="7" t="n">
        <v>10</v>
      </c>
      <c r="E15" s="7" t="n">
        <v>6</v>
      </c>
      <c r="F15" s="7" t="n">
        <v>12</v>
      </c>
      <c r="G15" s="7" t="n">
        <v>0</v>
      </c>
      <c r="H15" s="7">
        <f>SUM(B15:G15)</f>
        <v/>
      </c>
    </row>
    <row r="16" ht="23.85" customHeight="1" s="5">
      <c r="A16" s="7" t="inlineStr">
        <is>
          <t>Fermentados y kombucha (Escuela Vegetariana)</t>
        </is>
      </c>
      <c r="B16" s="7" t="n">
        <v>20</v>
      </c>
      <c r="C16" s="7" t="n">
        <v>5</v>
      </c>
      <c r="D16" s="7" t="n">
        <v>5</v>
      </c>
      <c r="E16" s="7" t="n">
        <v>3</v>
      </c>
      <c r="F16" s="7" t="n">
        <v>15</v>
      </c>
      <c r="G16" s="7" t="n">
        <v>0</v>
      </c>
      <c r="H16" s="7">
        <f>SUM(B16:G16)</f>
        <v/>
      </c>
    </row>
    <row r="17" ht="15" customHeight="1" s="5">
      <c r="A17" s="7" t="inlineStr">
        <is>
          <t>MundoManuarte (velas artesanales)</t>
        </is>
      </c>
      <c r="B17" s="7" t="n">
        <v>20</v>
      </c>
      <c r="C17" s="7" t="n">
        <v>3</v>
      </c>
      <c r="D17" s="7" t="n">
        <v>5</v>
      </c>
      <c r="E17" s="7" t="n">
        <v>4</v>
      </c>
      <c r="F17" s="7" t="n">
        <v>15</v>
      </c>
      <c r="G17" s="7" t="n">
        <v>0</v>
      </c>
      <c r="H17" s="7">
        <f>SUM(B17:G17)</f>
        <v/>
      </c>
    </row>
    <row r="18" ht="15" customHeight="1" s="5">
      <c r="A18" s="7" t="inlineStr">
        <is>
          <t>Mentoría Global (empaques premium)</t>
        </is>
      </c>
      <c r="B18" s="7" t="n">
        <v>5</v>
      </c>
      <c r="C18" s="7" t="n">
        <v>20</v>
      </c>
      <c r="D18" s="7" t="n">
        <v>5</v>
      </c>
      <c r="E18" s="7" t="n">
        <v>7</v>
      </c>
      <c r="F18" s="7" t="n">
        <v>5</v>
      </c>
      <c r="G18" s="7" t="n">
        <v>0</v>
      </c>
      <c r="H18" s="7">
        <f>SUM(B18:G18)</f>
        <v/>
      </c>
    </row>
    <row r="19" ht="15" customHeight="1" s="5">
      <c r="A19" s="7" t="inlineStr">
        <is>
          <t>Aprenda a Fazer Queijo (quesos)</t>
        </is>
      </c>
      <c r="B19" s="7" t="n">
        <v>20</v>
      </c>
      <c r="C19" s="7" t="n">
        <v>5</v>
      </c>
      <c r="D19" s="7" t="n">
        <v>5</v>
      </c>
      <c r="E19" s="7" t="n">
        <v>3</v>
      </c>
      <c r="F19" s="7" t="n">
        <v>15</v>
      </c>
      <c r="G19" s="7" t="n">
        <v>0</v>
      </c>
      <c r="H19" s="7">
        <f>SUM(B19:G19)</f>
        <v/>
      </c>
    </row>
    <row r="20" ht="23.85" customHeight="1" s="5">
      <c r="A20" s="7" t="inlineStr">
        <is>
          <t>Cursos de adiestramiento canino (EducaT Digital)</t>
        </is>
      </c>
      <c r="B20" s="7" t="n">
        <v>5</v>
      </c>
      <c r="C20" s="7" t="n">
        <v>3</v>
      </c>
      <c r="D20" s="7" t="n">
        <v>5</v>
      </c>
      <c r="E20" s="7" t="n">
        <v>3</v>
      </c>
      <c r="F20" s="7" t="n">
        <v>15</v>
      </c>
      <c r="G20" s="7" t="n">
        <v>0</v>
      </c>
      <c r="H20" s="7">
        <f>SUM(B20:G20)</f>
        <v/>
      </c>
    </row>
    <row r="21" ht="15" customHeight="1" s="5">
      <c r="A21" s="7" t="inlineStr">
        <is>
          <t>Juana Castro (moldes de costura)</t>
        </is>
      </c>
      <c r="B21" s="7" t="n">
        <v>2</v>
      </c>
      <c r="C21" s="7" t="n">
        <v>20</v>
      </c>
      <c r="D21" s="7" t="n">
        <v>10</v>
      </c>
      <c r="E21" s="7" t="n">
        <v>4</v>
      </c>
      <c r="F21" s="7" t="n">
        <v>12</v>
      </c>
      <c r="G21" s="7" t="n">
        <v>0</v>
      </c>
      <c r="H21" s="7">
        <f>SUM(B21:G21)</f>
        <v/>
      </c>
    </row>
    <row r="22" ht="15" customHeight="1" s="5">
      <c r="A22" s="7" t="inlineStr">
        <is>
          <t>NUVIA Recetario Digital</t>
        </is>
      </c>
      <c r="B22" s="7" t="n">
        <v>5</v>
      </c>
      <c r="C22" s="7" t="n">
        <v>10</v>
      </c>
      <c r="D22" s="7" t="n">
        <v>10</v>
      </c>
      <c r="E22" s="7" t="n">
        <v>6</v>
      </c>
      <c r="F22" s="7" t="n">
        <v>5</v>
      </c>
      <c r="G22" s="7" t="n">
        <v>0</v>
      </c>
      <c r="H22" s="7">
        <f>SUM(B22:G22)</f>
        <v/>
      </c>
    </row>
    <row r="23" ht="15" customHeight="1" s="5">
      <c r="A23" s="7" t="inlineStr">
        <is>
          <t>Habilidades Esenciales (pack 7 libros)</t>
        </is>
      </c>
      <c r="B23" s="7" t="n">
        <v>3</v>
      </c>
      <c r="C23" s="7" t="n">
        <v>20</v>
      </c>
      <c r="D23" s="7" t="n">
        <v>15</v>
      </c>
      <c r="E23" s="7" t="n">
        <v>10</v>
      </c>
      <c r="F23" s="7" t="n">
        <v>5</v>
      </c>
      <c r="G23" s="7" t="n">
        <v>0</v>
      </c>
      <c r="H23" s="7">
        <f>SUM(B23:G23)</f>
        <v/>
      </c>
    </row>
    <row r="24" ht="15" customHeight="1" s="5">
      <c r="A24" s="7" t="inlineStr">
        <is>
          <t>She Fixed (reparaciones del hogar, inglés)</t>
        </is>
      </c>
      <c r="B24" s="7" t="n">
        <v>20</v>
      </c>
      <c r="C24" s="7" t="n">
        <v>10</v>
      </c>
      <c r="D24" s="7" t="n">
        <v>10</v>
      </c>
      <c r="E24" s="7" t="n">
        <v>6</v>
      </c>
      <c r="F24" s="7" t="n">
        <v>5</v>
      </c>
      <c r="G24" s="7" t="n">
        <v>0</v>
      </c>
      <c r="H24" s="7">
        <f>SUM(B24:G24)</f>
        <v/>
      </c>
    </row>
    <row r="25" ht="15" customHeight="1" s="5">
      <c r="A25" s="7" t="inlineStr">
        <is>
          <t>Método Aprende y Emprende (repostería)</t>
        </is>
      </c>
      <c r="B25" s="7" t="n">
        <v>20</v>
      </c>
      <c r="C25" s="7" t="n">
        <v>2</v>
      </c>
      <c r="D25" s="7" t="n">
        <v>0</v>
      </c>
      <c r="E25" s="7" t="n">
        <v>4</v>
      </c>
      <c r="F25" s="7" t="n">
        <v>12</v>
      </c>
      <c r="G25" s="7" t="n">
        <v>0</v>
      </c>
      <c r="H25" s="7">
        <f>SUM(B25:G25)</f>
        <v/>
      </c>
    </row>
    <row r="26" ht="15" customHeight="1" s="5">
      <c r="A26" s="7" t="inlineStr">
        <is>
          <t>EmprendeEbook (+70 recetas sin horno)</t>
        </is>
      </c>
      <c r="B26" s="7" t="n">
        <v>2</v>
      </c>
      <c r="C26" s="7" t="n">
        <v>3</v>
      </c>
      <c r="D26" s="7" t="n">
        <v>5</v>
      </c>
      <c r="E26" s="7" t="n">
        <v>6</v>
      </c>
      <c r="F26" s="7" t="n">
        <v>5</v>
      </c>
      <c r="G26" s="7" t="n">
        <v>0</v>
      </c>
      <c r="H26" s="7">
        <f>SUM(B26:G26)</f>
        <v/>
      </c>
    </row>
    <row r="27" ht="15" customHeight="1" s="5">
      <c r="A27" s="7" t="inlineStr">
        <is>
          <t>NuBook / Cempra (paneles solares)</t>
        </is>
      </c>
      <c r="B27" s="7" t="n">
        <v>10</v>
      </c>
      <c r="C27" s="7" t="n">
        <v>3</v>
      </c>
      <c r="D27" s="7" t="n">
        <v>5</v>
      </c>
      <c r="E27" s="7" t="n">
        <v>3</v>
      </c>
      <c r="F27" s="7" t="n">
        <v>5</v>
      </c>
      <c r="G27" s="7" t="n">
        <v>0</v>
      </c>
      <c r="H27" s="7">
        <f>SUM(B27:G27)</f>
        <v/>
      </c>
    </row>
    <row r="28" ht="23.85" customHeight="1" s="5">
      <c r="A28" s="7" t="inlineStr">
        <is>
          <t>The Knowhow Co. (multi mini-productos EE.UU.)</t>
        </is>
      </c>
      <c r="B28" s="7" t="n">
        <v>5</v>
      </c>
      <c r="C28" s="7" t="n">
        <v>0</v>
      </c>
      <c r="D28" s="7" t="n">
        <v>5</v>
      </c>
      <c r="E28" s="7" t="n">
        <v>3</v>
      </c>
      <c r="F28" s="7" t="n">
        <v>5</v>
      </c>
      <c r="G28" s="7" t="n">
        <v>0</v>
      </c>
      <c r="H28" s="7">
        <f>SUM(B28:G28)</f>
        <v/>
      </c>
    </row>
    <row r="29" ht="23.85" customHeight="1" s="5">
      <c r="A29" s="7" t="inlineStr">
        <is>
          <t>Geriactiva (biblioteca +1000 recursos para tercera edad)</t>
        </is>
      </c>
      <c r="B29" s="7" t="n">
        <v>5</v>
      </c>
      <c r="C29" s="7" t="n">
        <v>20</v>
      </c>
      <c r="D29" s="7" t="n">
        <v>5</v>
      </c>
      <c r="E29" s="7" t="n">
        <v>7</v>
      </c>
      <c r="F29" s="7" t="n">
        <v>20</v>
      </c>
      <c r="G29" s="7" t="n">
        <v>0</v>
      </c>
      <c r="H29" s="7">
        <f>SUM(B29:G29)</f>
        <v/>
      </c>
    </row>
    <row r="30" ht="23.85" customHeight="1" s="5">
      <c r="A30" s="7" t="inlineStr">
        <is>
          <t>Šicí cirkus (patrones y cursos de costura, Chequia)</t>
        </is>
      </c>
      <c r="B30" s="7" t="n">
        <v>20</v>
      </c>
      <c r="C30" s="7" t="n">
        <v>10</v>
      </c>
      <c r="D30" s="7" t="n">
        <v>5</v>
      </c>
      <c r="E30" s="7" t="n">
        <v>3</v>
      </c>
      <c r="F30" s="7" t="n">
        <v>15</v>
      </c>
      <c r="G30" s="7" t="n">
        <v>0</v>
      </c>
      <c r="H30" s="7">
        <f>SUM(B30:G30)</f>
        <v/>
      </c>
    </row>
    <row r="31" ht="23.85" customHeight="1" s="5">
      <c r="A31" s="7" t="inlineStr">
        <is>
          <t>OctoMaps (idiomas con mapas mentales: italiano, alemán)</t>
        </is>
      </c>
      <c r="B31" s="7" t="n">
        <v>20</v>
      </c>
      <c r="C31" s="7" t="n">
        <v>20</v>
      </c>
      <c r="D31" s="7" t="n">
        <v>5</v>
      </c>
      <c r="E31" s="7" t="n">
        <v>6</v>
      </c>
      <c r="F31" s="7" t="n">
        <v>15</v>
      </c>
      <c r="G31" s="7" t="n">
        <v>0</v>
      </c>
      <c r="H31" s="7">
        <f>SUM(B31:G31)</f>
        <v/>
      </c>
    </row>
    <row r="32" ht="23.85" customHeight="1" s="5">
      <c r="A32" s="7" t="inlineStr">
        <is>
          <t>Geriactiva (biblioteca +1000 actividades para tercera edad)</t>
        </is>
      </c>
      <c r="B32" s="7" t="n">
        <v>5</v>
      </c>
      <c r="C32" s="7" t="n">
        <v>20</v>
      </c>
      <c r="D32" s="7" t="n">
        <v>5</v>
      </c>
      <c r="E32" s="7" t="n">
        <v>7</v>
      </c>
      <c r="F32" s="7" t="n">
        <v>20</v>
      </c>
      <c r="G32" s="7" t="n">
        <v>0</v>
      </c>
      <c r="H32" s="7">
        <f>SUM(B32:G32)</f>
        <v/>
      </c>
    </row>
    <row r="34" ht="90" customHeight="1" s="5">
      <c r="A34" s="8" t="inlineStr">
        <is>
          <t>Notas: fórmula según references/scoring.md. Funnel = 0 en todos porque ninguna landing se pudo abrir (se normalizó: en tu planilla estaba en 3). Antigüedad = anuncio activo más viejo visto, cota inferior (la herramienta muestra los 50 más recientes). Clonado: 25+ anunciantes con la misma oferta = saturado (12). Alcance estimado por moneda/copy, no medido por país. La fórmula premia volumen y clones, por eso los nichos poco competidos puntúan menos por diseño; la prioridad de modelado combina score, competencia, mercado y encaje contigo.</t>
        </is>
      </c>
    </row>
  </sheetData>
  <mergeCells count="1">
    <mergeCell ref="A34:H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4" min="1" max="1"/>
    <col width="22" customWidth="1" style="4" min="2" max="2"/>
    <col width="16" customWidth="1" style="4" min="3" max="3"/>
    <col width="18" customWidth="1" style="4" min="4" max="4"/>
    <col width="10" customWidth="1" style="4" min="5" max="5"/>
    <col width="24" customWidth="1" style="4" min="6" max="6"/>
  </cols>
  <sheetData>
    <row r="1" ht="23.85" customHeight="1" s="5">
      <c r="A1" s="6" t="inlineStr">
        <is>
          <t>Producto</t>
        </is>
      </c>
      <c r="B1" s="6" t="inlineStr">
        <is>
          <t>Fecha</t>
        </is>
      </c>
      <c r="C1" s="6" t="inlineStr">
        <is>
          <t>Anuncios activos</t>
        </is>
      </c>
      <c r="D1" s="6" t="inlineStr">
        <is>
          <t>Antigüedad vista (días)</t>
        </is>
      </c>
      <c r="E1" s="6" t="inlineStr">
        <is>
          <t>Score</t>
        </is>
      </c>
      <c r="F1" s="6" t="inlineStr">
        <is>
          <t>Fuente</t>
        </is>
      </c>
    </row>
    <row r="2" ht="23.85" customHeight="1" s="5">
      <c r="A2" s="7" t="inlineStr">
        <is>
          <t>Aprende y Emprende (moldes de cuero y bolsos, voseo)</t>
        </is>
      </c>
      <c r="B2" s="7" t="inlineStr">
        <is>
          <t>2026-10-04 (1er chequeo)</t>
        </is>
      </c>
      <c r="C2" s="7" t="n">
        <v>7</v>
      </c>
      <c r="D2" s="7" t="n"/>
      <c r="E2" s="7" t="n"/>
      <c r="F2" s="7" t="inlineStr">
        <is>
          <t>Mi tracker</t>
        </is>
      </c>
    </row>
    <row r="3" ht="23.85" customHeight="1" s="5">
      <c r="A3" s="7" t="inlineStr">
        <is>
          <t>Aprende y Emprende (moldes de cuero y bolsos, voseo)</t>
        </is>
      </c>
      <c r="B3" s="7" t="inlineStr">
        <is>
          <t>2026-10-04</t>
        </is>
      </c>
      <c r="C3" s="7" t="n">
        <v>33</v>
      </c>
      <c r="D3" s="7" t="n">
        <v>33</v>
      </c>
      <c r="E3" s="7">
        <f>'Lista maestra'!F2</f>
        <v/>
      </c>
      <c r="F3" s="7" t="inlineStr">
        <is>
          <t>Re-medición Ad Library</t>
        </is>
      </c>
    </row>
    <row r="4" ht="15" customHeight="1" s="5">
      <c r="A4" s="7" t="inlineStr">
        <is>
          <t>Udemia.IA (mini-cursos 'Dominá X en 7 días')</t>
        </is>
      </c>
      <c r="B4" s="7" t="inlineStr">
        <is>
          <t>2026-09-30</t>
        </is>
      </c>
      <c r="C4" s="7" t="n">
        <v>336</v>
      </c>
      <c r="D4" s="7" t="n"/>
      <c r="E4" s="7" t="n"/>
      <c r="F4" s="7" t="inlineStr">
        <is>
          <t>Tu planilla</t>
        </is>
      </c>
    </row>
    <row r="5" ht="15" customHeight="1" s="5">
      <c r="A5" s="7" t="inlineStr">
        <is>
          <t>Udemia.IA (mini-cursos 'Dominá X en 7 días')</t>
        </is>
      </c>
      <c r="B5" s="7" t="inlineStr">
        <is>
          <t>2026-10-04</t>
        </is>
      </c>
      <c r="C5" s="7" t="n">
        <v>411</v>
      </c>
      <c r="D5" s="7" t="n">
        <v>8</v>
      </c>
      <c r="E5" s="7">
        <f>'Lista maestra'!F3</f>
        <v/>
      </c>
      <c r="F5" s="7" t="inlineStr">
        <is>
          <t>Re-medición Ad Library</t>
        </is>
      </c>
    </row>
    <row r="6" ht="15" customHeight="1" s="5">
      <c r="A6" s="7" t="inlineStr">
        <is>
          <t>Navidad Creativa</t>
        </is>
      </c>
      <c r="B6" s="7" t="inlineStr">
        <is>
          <t>2026-10-04 (1er chequeo)</t>
        </is>
      </c>
      <c r="C6" s="7" t="n">
        <v>73</v>
      </c>
      <c r="D6" s="7" t="n"/>
      <c r="E6" s="7" t="n"/>
      <c r="F6" s="7" t="inlineStr">
        <is>
          <t>Mi tracker</t>
        </is>
      </c>
    </row>
    <row r="7" ht="15" customHeight="1" s="5">
      <c r="A7" s="7" t="inlineStr">
        <is>
          <t>Navidad Creativa</t>
        </is>
      </c>
      <c r="B7" s="7" t="inlineStr">
        <is>
          <t>2026-10-04</t>
        </is>
      </c>
      <c r="C7" s="7" t="n">
        <v>73</v>
      </c>
      <c r="D7" s="7" t="n">
        <v>29</v>
      </c>
      <c r="E7" s="7">
        <f>'Lista maestra'!F4</f>
        <v/>
      </c>
      <c r="F7" s="7" t="inlineStr">
        <is>
          <t>Re-medición Ad Library</t>
        </is>
      </c>
    </row>
    <row r="8" ht="15" customHeight="1" s="5">
      <c r="A8" s="7" t="inlineStr">
        <is>
          <t>Emprende con Arte (crochet 70% OFF)</t>
        </is>
      </c>
      <c r="B8" s="7" t="inlineStr">
        <is>
          <t>2026-10-04 (1er chequeo)</t>
        </is>
      </c>
      <c r="C8" s="7" t="n">
        <v>6</v>
      </c>
      <c r="D8" s="7" t="n"/>
      <c r="E8" s="7" t="n"/>
      <c r="F8" s="7" t="inlineStr">
        <is>
          <t>Mi tracker</t>
        </is>
      </c>
    </row>
    <row r="9" ht="15" customHeight="1" s="5">
      <c r="A9" s="7" t="inlineStr">
        <is>
          <t>Emprende con Arte (crochet 70% OFF)</t>
        </is>
      </c>
      <c r="B9" s="7" t="inlineStr">
        <is>
          <t>2026-10-04</t>
        </is>
      </c>
      <c r="C9" s="7" t="n">
        <v>62</v>
      </c>
      <c r="D9" s="7" t="n">
        <v>38.7</v>
      </c>
      <c r="E9" s="7">
        <f>'Lista maestra'!F5</f>
        <v/>
      </c>
      <c r="F9" s="7" t="inlineStr">
        <is>
          <t>Re-medición Ad Library</t>
        </is>
      </c>
    </row>
    <row r="10" ht="23.85" customHeight="1" s="5">
      <c r="A10" s="7" t="inlineStr">
        <is>
          <t>Conocimiento Digital (megapack moldes de costura)</t>
        </is>
      </c>
      <c r="B10" s="7" t="inlineStr">
        <is>
          <t>2026-09-30</t>
        </is>
      </c>
      <c r="C10" s="7" t="n">
        <v>135</v>
      </c>
      <c r="D10" s="7" t="n"/>
      <c r="E10" s="7" t="n"/>
      <c r="F10" s="7" t="inlineStr">
        <is>
          <t>Tu planilla</t>
        </is>
      </c>
    </row>
    <row r="11" ht="23.85" customHeight="1" s="5">
      <c r="A11" s="7" t="inlineStr">
        <is>
          <t>Conocimiento Digital (megapack moldes de costura)</t>
        </is>
      </c>
      <c r="B11" s="7" t="inlineStr">
        <is>
          <t>2026-10-04</t>
        </is>
      </c>
      <c r="C11" s="7" t="n">
        <v>140</v>
      </c>
      <c r="D11" s="7" t="n">
        <v>32</v>
      </c>
      <c r="E11" s="7">
        <f>'Lista maestra'!F6</f>
        <v/>
      </c>
      <c r="F11" s="7" t="inlineStr">
        <is>
          <t>Re-medición Ad Library</t>
        </is>
      </c>
    </row>
    <row r="12" ht="15" customHeight="1" s="5">
      <c r="A12" s="7" t="inlineStr">
        <is>
          <t>Carpintería para todos</t>
        </is>
      </c>
      <c r="B12" s="7" t="inlineStr">
        <is>
          <t>2026-10-04 (1er chequeo)</t>
        </is>
      </c>
      <c r="C12" s="7" t="n">
        <v>50</v>
      </c>
      <c r="D12" s="7" t="n"/>
      <c r="E12" s="7" t="n"/>
      <c r="F12" s="7" t="inlineStr">
        <is>
          <t>Mi tracker</t>
        </is>
      </c>
    </row>
    <row r="13" ht="15" customHeight="1" s="5">
      <c r="A13" s="7" t="inlineStr">
        <is>
          <t>Carpintería para todos</t>
        </is>
      </c>
      <c r="B13" s="7" t="inlineStr">
        <is>
          <t>2026-10-04</t>
        </is>
      </c>
      <c r="C13" s="7" t="n">
        <v>145</v>
      </c>
      <c r="D13" s="7" t="n">
        <v>11.5</v>
      </c>
      <c r="E13" s="7">
        <f>'Lista maestra'!F7</f>
        <v/>
      </c>
      <c r="F13" s="7" t="inlineStr">
        <is>
          <t>Re-medición Ad Library</t>
        </is>
      </c>
    </row>
    <row r="14" ht="15" customHeight="1" s="5">
      <c r="A14" s="7" t="inlineStr">
        <is>
          <t>La Biblioteca Definitiva De Tejido</t>
        </is>
      </c>
      <c r="B14" s="7" t="inlineStr">
        <is>
          <t>2026-10-04 (1er chequeo)</t>
        </is>
      </c>
      <c r="C14" s="7" t="n">
        <v>54</v>
      </c>
      <c r="D14" s="7" t="n"/>
      <c r="E14" s="7" t="n"/>
      <c r="F14" s="7" t="inlineStr">
        <is>
          <t>Mi tracker</t>
        </is>
      </c>
    </row>
    <row r="15" ht="15" customHeight="1" s="5">
      <c r="A15" s="7" t="inlineStr">
        <is>
          <t>La Biblioteca Definitiva De Tejido</t>
        </is>
      </c>
      <c r="B15" s="7" t="inlineStr">
        <is>
          <t>2026-10-04</t>
        </is>
      </c>
      <c r="C15" s="7" t="n">
        <v>54</v>
      </c>
      <c r="D15" s="7" t="n">
        <v>21.2</v>
      </c>
      <c r="E15" s="7">
        <f>'Lista maestra'!F8</f>
        <v/>
      </c>
      <c r="F15" s="7" t="inlineStr">
        <is>
          <t>Re-medición Ad Library</t>
        </is>
      </c>
    </row>
    <row r="16" ht="15" customHeight="1" s="5">
      <c r="A16" s="7" t="inlineStr">
        <is>
          <t>Mundo Creativo (+2000 moldes goma eva)</t>
        </is>
      </c>
      <c r="B16" s="7" t="inlineStr">
        <is>
          <t>2026-10-04 (1er chequeo)</t>
        </is>
      </c>
      <c r="C16" s="7" t="n">
        <v>29</v>
      </c>
      <c r="D16" s="7" t="n"/>
      <c r="E16" s="7" t="n"/>
      <c r="F16" s="7" t="inlineStr">
        <is>
          <t>Mi tracker</t>
        </is>
      </c>
    </row>
    <row r="17" ht="15" customHeight="1" s="5">
      <c r="A17" s="7" t="inlineStr">
        <is>
          <t>Mundo Creativo (+2000 moldes goma eva)</t>
        </is>
      </c>
      <c r="B17" s="7" t="inlineStr">
        <is>
          <t>2026-10-04</t>
        </is>
      </c>
      <c r="C17" s="7" t="n">
        <v>29</v>
      </c>
      <c r="D17" s="7" t="n">
        <v>17.3</v>
      </c>
      <c r="E17" s="7">
        <f>'Lista maestra'!F9</f>
        <v/>
      </c>
      <c r="F17" s="7" t="inlineStr">
        <is>
          <t>Re-medición Ad Library</t>
        </is>
      </c>
    </row>
    <row r="18" ht="15" customHeight="1" s="5">
      <c r="A18" s="7" t="inlineStr">
        <is>
          <t>1500 Moldes de Costura</t>
        </is>
      </c>
      <c r="B18" s="7" t="inlineStr">
        <is>
          <t>2026-10-04 (1er chequeo)</t>
        </is>
      </c>
      <c r="C18" s="7" t="n">
        <v>42</v>
      </c>
      <c r="D18" s="7" t="n"/>
      <c r="E18" s="7" t="n"/>
      <c r="F18" s="7" t="inlineStr">
        <is>
          <t>Mi tracker</t>
        </is>
      </c>
    </row>
    <row r="19" ht="15" customHeight="1" s="5">
      <c r="A19" s="7" t="inlineStr">
        <is>
          <t>1500 Moldes de Costura</t>
        </is>
      </c>
      <c r="B19" s="7" t="inlineStr">
        <is>
          <t>2026-10-04</t>
        </is>
      </c>
      <c r="C19" s="7" t="n">
        <v>68</v>
      </c>
      <c r="D19" s="7" t="n">
        <v>10</v>
      </c>
      <c r="E19" s="7">
        <f>'Lista maestra'!F10</f>
        <v/>
      </c>
      <c r="F19" s="7" t="inlineStr">
        <is>
          <t>Re-medición Ad Library</t>
        </is>
      </c>
    </row>
    <row r="20" ht="15" customHeight="1" s="5">
      <c r="A20" s="7" t="inlineStr">
        <is>
          <t>MonteAgro (manuales técnicos de cultivo)</t>
        </is>
      </c>
      <c r="B20" s="7" t="inlineStr">
        <is>
          <t>2026-09-30</t>
        </is>
      </c>
      <c r="C20" s="7" t="n">
        <v>72</v>
      </c>
      <c r="D20" s="7" t="n"/>
      <c r="E20" s="7" t="n"/>
      <c r="F20" s="7" t="inlineStr">
        <is>
          <t>Tu planilla</t>
        </is>
      </c>
    </row>
    <row r="21" ht="15" customHeight="1" s="5">
      <c r="A21" s="7" t="inlineStr">
        <is>
          <t>MonteAgro (manuales técnicos de cultivo)</t>
        </is>
      </c>
      <c r="B21" s="7" t="inlineStr">
        <is>
          <t>2026-10-04</t>
        </is>
      </c>
      <c r="C21" s="7" t="n">
        <v>108</v>
      </c>
      <c r="D21" s="7" t="n">
        <v>6.3</v>
      </c>
      <c r="E21" s="7">
        <f>'Lista maestra'!F11</f>
        <v/>
      </c>
      <c r="F21" s="7" t="inlineStr">
        <is>
          <t>Re-medición Ad Library</t>
        </is>
      </c>
    </row>
    <row r="22" ht="15" customHeight="1" s="5">
      <c r="A22" s="7" t="inlineStr">
        <is>
          <t>Biblioteca Digital (planos y oficios)</t>
        </is>
      </c>
      <c r="B22" s="7" t="inlineStr">
        <is>
          <t>2026-10-04 (1er chequeo)</t>
        </is>
      </c>
      <c r="C22" s="7" t="n">
        <v>26</v>
      </c>
      <c r="D22" s="7" t="n"/>
      <c r="E22" s="7" t="n"/>
      <c r="F22" s="7" t="inlineStr">
        <is>
          <t>Mi tracker</t>
        </is>
      </c>
    </row>
    <row r="23" ht="15" customHeight="1" s="5">
      <c r="A23" s="7" t="inlineStr">
        <is>
          <t>Biblioteca Digital (planos y oficios)</t>
        </is>
      </c>
      <c r="B23" s="7" t="inlineStr">
        <is>
          <t>2026-10-04</t>
        </is>
      </c>
      <c r="C23" s="7" t="n">
        <v>26</v>
      </c>
      <c r="D23" s="7" t="n">
        <v>3.1</v>
      </c>
      <c r="E23" s="7">
        <f>'Lista maestra'!F12</f>
        <v/>
      </c>
      <c r="F23" s="7" t="inlineStr">
        <is>
          <t>Re-medición Ad Library</t>
        </is>
      </c>
    </row>
    <row r="24" ht="15" customHeight="1" s="5">
      <c r="A24" s="7" t="inlineStr">
        <is>
          <t>Amigurumi Navideño</t>
        </is>
      </c>
      <c r="B24" s="7" t="inlineStr">
        <is>
          <t>2026-09-30</t>
        </is>
      </c>
      <c r="C24" s="7" t="n">
        <v>14</v>
      </c>
      <c r="D24" s="7" t="n"/>
      <c r="E24" s="7" t="n"/>
      <c r="F24" s="7" t="inlineStr">
        <is>
          <t>Tu planilla</t>
        </is>
      </c>
    </row>
    <row r="25" ht="15" customHeight="1" s="5">
      <c r="A25" s="7" t="inlineStr">
        <is>
          <t>Amigurumi Navideño</t>
        </is>
      </c>
      <c r="B25" s="7" t="inlineStr">
        <is>
          <t>2026-10-04</t>
        </is>
      </c>
      <c r="C25" s="7" t="n">
        <v>15</v>
      </c>
      <c r="D25" s="7" t="n">
        <v>20.3</v>
      </c>
      <c r="E25" s="7">
        <f>'Lista maestra'!F13</f>
        <v/>
      </c>
      <c r="F25" s="7" t="inlineStr">
        <is>
          <t>Re-medición Ad Library</t>
        </is>
      </c>
    </row>
    <row r="26" ht="15" customHeight="1" s="5">
      <c r="A26" s="7" t="inlineStr">
        <is>
          <t>Sofia Fernández (moldes de costura)</t>
        </is>
      </c>
      <c r="B26" s="7" t="inlineStr">
        <is>
          <t>2026-09-30</t>
        </is>
      </c>
      <c r="C26" s="7" t="n">
        <v>25</v>
      </c>
      <c r="D26" s="7" t="n"/>
      <c r="E26" s="7" t="n"/>
      <c r="F26" s="7" t="inlineStr">
        <is>
          <t>Tu planilla</t>
        </is>
      </c>
    </row>
    <row r="27" ht="15" customHeight="1" s="5">
      <c r="A27" s="7" t="inlineStr">
        <is>
          <t>Sofia Fernández (moldes de costura)</t>
        </is>
      </c>
      <c r="B27" s="7" t="inlineStr">
        <is>
          <t>2026-10-04</t>
        </is>
      </c>
      <c r="C27" s="7" t="n">
        <v>47</v>
      </c>
      <c r="D27" s="7" t="n">
        <v>16</v>
      </c>
      <c r="E27" s="7">
        <f>'Lista maestra'!F14</f>
        <v/>
      </c>
      <c r="F27" s="7" t="inlineStr">
        <is>
          <t>Re-medición Ad Library</t>
        </is>
      </c>
    </row>
    <row r="28" ht="15" customHeight="1" s="5">
      <c r="A28" s="7" t="inlineStr">
        <is>
          <t>Melissa Amicraft (amigurumi, pets por raza)</t>
        </is>
      </c>
      <c r="B28" s="7" t="inlineStr">
        <is>
          <t>2026-09-30</t>
        </is>
      </c>
      <c r="C28" s="7" t="n">
        <v>26</v>
      </c>
      <c r="D28" s="7" t="n"/>
      <c r="E28" s="7" t="n"/>
      <c r="F28" s="7" t="inlineStr">
        <is>
          <t>Tu planilla</t>
        </is>
      </c>
    </row>
    <row r="29" ht="15" customHeight="1" s="5">
      <c r="A29" s="7" t="inlineStr">
        <is>
          <t>Melissa Amicraft (amigurumi, pets por raza)</t>
        </is>
      </c>
      <c r="B29" s="7" t="inlineStr">
        <is>
          <t>2026-10-04</t>
        </is>
      </c>
      <c r="C29" s="7" t="n">
        <v>36</v>
      </c>
      <c r="D29" s="7" t="n">
        <v>6.4</v>
      </c>
      <c r="E29" s="7">
        <f>'Lista maestra'!F15</f>
        <v/>
      </c>
      <c r="F29" s="7" t="inlineStr">
        <is>
          <t>Re-medición Ad Library</t>
        </is>
      </c>
    </row>
    <row r="30" ht="23.85" customHeight="1" s="5">
      <c r="A30" s="7" t="inlineStr">
        <is>
          <t>Fermentados y kombucha (Escuela Vegetariana)</t>
        </is>
      </c>
      <c r="B30" s="7" t="inlineStr">
        <is>
          <t>2026-10-04 (1er chequeo)</t>
        </is>
      </c>
      <c r="C30" s="7" t="n">
        <v>5</v>
      </c>
      <c r="D30" s="7" t="n"/>
      <c r="E30" s="7" t="n"/>
      <c r="F30" s="7" t="inlineStr">
        <is>
          <t>Mi tracker</t>
        </is>
      </c>
    </row>
    <row r="31" ht="23.85" customHeight="1" s="5">
      <c r="A31" s="7" t="inlineStr">
        <is>
          <t>Fermentados y kombucha (Escuela Vegetariana)</t>
        </is>
      </c>
      <c r="B31" s="7" t="inlineStr">
        <is>
          <t>2026-10-04</t>
        </is>
      </c>
      <c r="C31" s="7" t="n">
        <v>31</v>
      </c>
      <c r="D31" s="7" t="n">
        <v>129.5</v>
      </c>
      <c r="E31" s="7">
        <f>'Lista maestra'!F16</f>
        <v/>
      </c>
      <c r="F31" s="7" t="inlineStr">
        <is>
          <t>Re-medición Ad Library</t>
        </is>
      </c>
    </row>
    <row r="32" ht="15" customHeight="1" s="5">
      <c r="A32" s="7" t="inlineStr">
        <is>
          <t>MundoManuarte (velas artesanales)</t>
        </is>
      </c>
      <c r="B32" s="7" t="inlineStr">
        <is>
          <t>2026-09-30</t>
        </is>
      </c>
      <c r="C32" s="7" t="n">
        <v>9</v>
      </c>
      <c r="D32" s="7" t="n"/>
      <c r="E32" s="7" t="n"/>
      <c r="F32" s="7" t="inlineStr">
        <is>
          <t>Tu planilla</t>
        </is>
      </c>
    </row>
    <row r="33" ht="15" customHeight="1" s="5">
      <c r="A33" s="7" t="inlineStr">
        <is>
          <t>MundoManuarte (velas artesanales)</t>
        </is>
      </c>
      <c r="B33" s="7" t="inlineStr">
        <is>
          <t>2026-10-04</t>
        </is>
      </c>
      <c r="C33" s="7" t="n">
        <v>8</v>
      </c>
      <c r="D33" s="7" t="n">
        <v>76.90000000000001</v>
      </c>
      <c r="E33" s="7">
        <f>'Lista maestra'!F17</f>
        <v/>
      </c>
      <c r="F33" s="7" t="inlineStr">
        <is>
          <t>Re-medición Ad Library</t>
        </is>
      </c>
    </row>
    <row r="34" ht="15" customHeight="1" s="5">
      <c r="A34" s="7" t="inlineStr">
        <is>
          <t>Mentoría Global (empaques premium)</t>
        </is>
      </c>
      <c r="B34" s="7" t="inlineStr">
        <is>
          <t>2026-10-04 (1er chequeo)</t>
        </is>
      </c>
      <c r="C34" s="7" t="n">
        <v>60</v>
      </c>
      <c r="D34" s="7" t="n"/>
      <c r="E34" s="7" t="n"/>
      <c r="F34" s="7" t="inlineStr">
        <is>
          <t>Mi tracker</t>
        </is>
      </c>
    </row>
    <row r="35" ht="15" customHeight="1" s="5">
      <c r="A35" s="7" t="inlineStr">
        <is>
          <t>Mentoría Global (empaques premium)</t>
        </is>
      </c>
      <c r="B35" s="7" t="inlineStr">
        <is>
          <t>2026-10-04</t>
        </is>
      </c>
      <c r="C35" s="7" t="n">
        <v>60</v>
      </c>
      <c r="D35" s="7" t="n">
        <v>3.1</v>
      </c>
      <c r="E35" s="7">
        <f>'Lista maestra'!F18</f>
        <v/>
      </c>
      <c r="F35" s="7" t="inlineStr">
        <is>
          <t>Re-medición Ad Library</t>
        </is>
      </c>
    </row>
    <row r="36" ht="15" customHeight="1" s="5">
      <c r="A36" s="7" t="inlineStr">
        <is>
          <t>Aprenda a Fazer Queijo (quesos)</t>
        </is>
      </c>
      <c r="B36" s="7" t="inlineStr">
        <is>
          <t>2026-10-04 (1er chequeo)</t>
        </is>
      </c>
      <c r="C36" s="7" t="n">
        <v>8</v>
      </c>
      <c r="D36" s="7" t="n"/>
      <c r="E36" s="7" t="n"/>
      <c r="F36" s="7" t="inlineStr">
        <is>
          <t>Mi tracker</t>
        </is>
      </c>
    </row>
    <row r="37" ht="15" customHeight="1" s="5">
      <c r="A37" s="7" t="inlineStr">
        <is>
          <t>Aprenda a Fazer Queijo (quesos)</t>
        </is>
      </c>
      <c r="B37" s="7" t="inlineStr">
        <is>
          <t>2026-10-04</t>
        </is>
      </c>
      <c r="C37" s="7" t="n">
        <v>8</v>
      </c>
      <c r="D37" s="7" t="n">
        <v>356</v>
      </c>
      <c r="E37" s="7">
        <f>'Lista maestra'!F19</f>
        <v/>
      </c>
      <c r="F37" s="7" t="inlineStr">
        <is>
          <t>Re-medición Ad Library</t>
        </is>
      </c>
    </row>
    <row r="38" ht="23.85" customHeight="1" s="5">
      <c r="A38" s="7" t="inlineStr">
        <is>
          <t>Cursos de adiestramiento canino (EducaT Digital)</t>
        </is>
      </c>
      <c r="B38" s="7" t="inlineStr">
        <is>
          <t>2026-10-04 (1er chequeo)</t>
        </is>
      </c>
      <c r="C38" s="7" t="n">
        <v>3</v>
      </c>
      <c r="D38" s="7" t="n"/>
      <c r="E38" s="7" t="n"/>
      <c r="F38" s="7" t="inlineStr">
        <is>
          <t>Mi tracker</t>
        </is>
      </c>
    </row>
    <row r="39" ht="23.85" customHeight="1" s="5">
      <c r="A39" s="7" t="inlineStr">
        <is>
          <t>Cursos de adiestramiento canino (EducaT Digital)</t>
        </is>
      </c>
      <c r="B39" s="7" t="inlineStr">
        <is>
          <t>2026-10-04</t>
        </is>
      </c>
      <c r="C39" s="7" t="n">
        <v>3</v>
      </c>
      <c r="D39" s="7" t="n">
        <v>9.300000000000001</v>
      </c>
      <c r="E39" s="7">
        <f>'Lista maestra'!F20</f>
        <v/>
      </c>
      <c r="F39" s="7" t="inlineStr">
        <is>
          <t>Re-medición Ad Library</t>
        </is>
      </c>
    </row>
    <row r="40" ht="15" customHeight="1" s="5">
      <c r="A40" s="7" t="inlineStr">
        <is>
          <t>Juana Castro (moldes de costura)</t>
        </is>
      </c>
      <c r="B40" s="7" t="inlineStr">
        <is>
          <t>2026-09-30</t>
        </is>
      </c>
      <c r="C40" s="7" t="n">
        <v>66</v>
      </c>
      <c r="D40" s="7" t="n"/>
      <c r="E40" s="7" t="n"/>
      <c r="F40" s="7" t="inlineStr">
        <is>
          <t>Tu planilla</t>
        </is>
      </c>
    </row>
    <row r="41" ht="15" customHeight="1" s="5">
      <c r="A41" s="7" t="inlineStr">
        <is>
          <t>Juana Castro (moldes de costura)</t>
        </is>
      </c>
      <c r="B41" s="7" t="inlineStr">
        <is>
          <t>2026-10-04</t>
        </is>
      </c>
      <c r="C41" s="7" t="n">
        <v>66</v>
      </c>
      <c r="D41" s="7" t="n">
        <v>3.4</v>
      </c>
      <c r="E41" s="7">
        <f>'Lista maestra'!F21</f>
        <v/>
      </c>
      <c r="F41" s="7" t="inlineStr">
        <is>
          <t>Re-medición Ad Library</t>
        </is>
      </c>
    </row>
    <row r="42" ht="15" customHeight="1" s="5">
      <c r="A42" s="7" t="inlineStr">
        <is>
          <t>NUVIA Recetario Digital</t>
        </is>
      </c>
      <c r="B42" s="7" t="inlineStr">
        <is>
          <t>2026-10-04 (1er chequeo)</t>
        </is>
      </c>
      <c r="C42" s="7" t="n">
        <v>3</v>
      </c>
      <c r="D42" s="7" t="n"/>
      <c r="E42" s="7" t="n"/>
      <c r="F42" s="7" t="inlineStr">
        <is>
          <t>Mi tracker</t>
        </is>
      </c>
    </row>
    <row r="43" ht="15" customHeight="1" s="5">
      <c r="A43" s="7" t="inlineStr">
        <is>
          <t>NUVIA Recetario Digital</t>
        </is>
      </c>
      <c r="B43" s="7" t="inlineStr">
        <is>
          <t>2026-10-04</t>
        </is>
      </c>
      <c r="C43" s="7" t="n">
        <v>15</v>
      </c>
      <c r="D43" s="7" t="n">
        <v>5.6</v>
      </c>
      <c r="E43" s="7">
        <f>'Lista maestra'!F22</f>
        <v/>
      </c>
      <c r="F43" s="7" t="inlineStr">
        <is>
          <t>Re-medición Ad Library</t>
        </is>
      </c>
    </row>
    <row r="44" ht="15" customHeight="1" s="5">
      <c r="A44" s="7" t="inlineStr">
        <is>
          <t>Habilidades Esenciales (pack 7 libros)</t>
        </is>
      </c>
      <c r="B44" s="7" t="inlineStr">
        <is>
          <t>2026-09-30</t>
        </is>
      </c>
      <c r="C44" s="7" t="n">
        <v>32</v>
      </c>
      <c r="D44" s="7" t="n"/>
      <c r="E44" s="7" t="n"/>
      <c r="F44" s="7" t="inlineStr">
        <is>
          <t>Tu planilla</t>
        </is>
      </c>
    </row>
    <row r="45" ht="15" customHeight="1" s="5">
      <c r="A45" s="7" t="inlineStr">
        <is>
          <t>Habilidades Esenciales (pack 7 libros)</t>
        </is>
      </c>
      <c r="B45" s="7" t="inlineStr">
        <is>
          <t>2026-10-04</t>
        </is>
      </c>
      <c r="C45" s="7" t="n">
        <v>32</v>
      </c>
      <c r="D45" s="7" t="n">
        <v>3.6</v>
      </c>
      <c r="E45" s="7">
        <f>'Lista maestra'!F23</f>
        <v/>
      </c>
      <c r="F45" s="7" t="inlineStr">
        <is>
          <t>Re-medición Ad Library</t>
        </is>
      </c>
    </row>
    <row r="46" ht="15" customHeight="1" s="5">
      <c r="A46" s="7" t="inlineStr">
        <is>
          <t>She Fixed (reparaciones del hogar, inglés)</t>
        </is>
      </c>
      <c r="B46" s="7" t="inlineStr">
        <is>
          <t>2026-09-30</t>
        </is>
      </c>
      <c r="C46" s="7" t="n">
        <v>20</v>
      </c>
      <c r="D46" s="7" t="n"/>
      <c r="E46" s="7" t="n"/>
      <c r="F46" s="7" t="inlineStr">
        <is>
          <t>Tu planilla</t>
        </is>
      </c>
    </row>
    <row r="47" ht="15" customHeight="1" s="5">
      <c r="A47" s="7" t="inlineStr">
        <is>
          <t>She Fixed (reparaciones del hogar, inglés)</t>
        </is>
      </c>
      <c r="B47" s="7" t="inlineStr">
        <is>
          <t>2026-10-04</t>
        </is>
      </c>
      <c r="C47" s="7" t="n">
        <v>20</v>
      </c>
      <c r="D47" s="7" t="n">
        <v>49.5</v>
      </c>
      <c r="E47" s="7">
        <f>'Lista maestra'!F24</f>
        <v/>
      </c>
      <c r="F47" s="7" t="inlineStr">
        <is>
          <t>Re-medición Ad Library</t>
        </is>
      </c>
    </row>
    <row r="48" ht="15" customHeight="1" s="5">
      <c r="A48" s="7" t="inlineStr">
        <is>
          <t>Método Aprende y Emprende (repostería)</t>
        </is>
      </c>
      <c r="B48" s="7" t="inlineStr">
        <is>
          <t>2026-09-30</t>
        </is>
      </c>
      <c r="C48" s="7" t="n">
        <v>6</v>
      </c>
      <c r="D48" s="7" t="n"/>
      <c r="E48" s="7" t="n"/>
      <c r="F48" s="7" t="inlineStr">
        <is>
          <t>Tu planilla</t>
        </is>
      </c>
    </row>
    <row r="49" ht="15" customHeight="1" s="5">
      <c r="A49" s="7" t="inlineStr">
        <is>
          <t>Método Aprende y Emprende (repostería)</t>
        </is>
      </c>
      <c r="B49" s="7" t="inlineStr">
        <is>
          <t>2026-10-04</t>
        </is>
      </c>
      <c r="C49" s="7" t="n">
        <v>6</v>
      </c>
      <c r="D49" s="7" t="n">
        <v>55</v>
      </c>
      <c r="E49" s="7">
        <f>'Lista maestra'!F25</f>
        <v/>
      </c>
      <c r="F49" s="7" t="inlineStr">
        <is>
          <t>Re-medición Ad Library</t>
        </is>
      </c>
    </row>
    <row r="50" ht="15" customHeight="1" s="5">
      <c r="A50" s="7" t="inlineStr">
        <is>
          <t>EmprendeEbook (+70 recetas sin horno)</t>
        </is>
      </c>
      <c r="B50" s="7" t="inlineStr">
        <is>
          <t>2026-10-04 (1er chequeo)</t>
        </is>
      </c>
      <c r="C50" s="7" t="n">
        <v>7</v>
      </c>
      <c r="D50" s="7" t="n"/>
      <c r="E50" s="7" t="n"/>
      <c r="F50" s="7" t="inlineStr">
        <is>
          <t>Mi tracker</t>
        </is>
      </c>
    </row>
    <row r="51" ht="15" customHeight="1" s="5">
      <c r="A51" s="7" t="inlineStr">
        <is>
          <t>EmprendeEbook (+70 recetas sin horno)</t>
        </is>
      </c>
      <c r="B51" s="7" t="inlineStr">
        <is>
          <t>2026-10-04</t>
        </is>
      </c>
      <c r="C51" s="7" t="n">
        <v>7</v>
      </c>
      <c r="D51" s="7" t="n">
        <v>1.1</v>
      </c>
      <c r="E51" s="7">
        <f>'Lista maestra'!F26</f>
        <v/>
      </c>
      <c r="F51" s="7" t="inlineStr">
        <is>
          <t>Re-medición Ad Library</t>
        </is>
      </c>
    </row>
    <row r="52" ht="15" customHeight="1" s="5">
      <c r="A52" s="7" t="inlineStr">
        <is>
          <t>NuBook / Cempra (paneles solares)</t>
        </is>
      </c>
      <c r="B52" s="7" t="inlineStr">
        <is>
          <t>2026-10-04 (1er chequeo)</t>
        </is>
      </c>
      <c r="C52" s="7" t="n">
        <v>3</v>
      </c>
      <c r="D52" s="7" t="n"/>
      <c r="E52" s="7" t="n"/>
      <c r="F52" s="7" t="inlineStr">
        <is>
          <t>Mi tracker</t>
        </is>
      </c>
    </row>
    <row r="53" ht="15" customHeight="1" s="5">
      <c r="A53" s="7" t="inlineStr">
        <is>
          <t>NuBook / Cempra (paneles solares)</t>
        </is>
      </c>
      <c r="B53" s="7" t="inlineStr">
        <is>
          <t>2026-10-04</t>
        </is>
      </c>
      <c r="C53" s="7" t="n">
        <v>6</v>
      </c>
      <c r="D53" s="7" t="n">
        <v>12.9</v>
      </c>
      <c r="E53" s="7">
        <f>'Lista maestra'!F27</f>
        <v/>
      </c>
      <c r="F53" s="7" t="inlineStr">
        <is>
          <t>Re-medición Ad Library</t>
        </is>
      </c>
    </row>
    <row r="54" ht="23.85" customHeight="1" s="5">
      <c r="A54" s="7" t="inlineStr">
        <is>
          <t>The Knowhow Co. (multi mini-productos EE.UU.)</t>
        </is>
      </c>
      <c r="B54" s="7" t="inlineStr">
        <is>
          <t>2026-09-30</t>
        </is>
      </c>
      <c r="C54" s="7" t="n">
        <v>89</v>
      </c>
      <c r="D54" s="7" t="n"/>
      <c r="E54" s="7" t="n"/>
      <c r="F54" s="7" t="inlineStr">
        <is>
          <t>Tu planilla</t>
        </is>
      </c>
    </row>
    <row r="55" ht="23.85" customHeight="1" s="5">
      <c r="A55" s="7" t="inlineStr">
        <is>
          <t>The Knowhow Co. (multi mini-productos EE.UU.)</t>
        </is>
      </c>
      <c r="B55" s="7" t="inlineStr">
        <is>
          <t>2026-10-04</t>
        </is>
      </c>
      <c r="C55" s="7" t="n">
        <v>2</v>
      </c>
      <c r="D55" s="7" t="n">
        <v>4.1</v>
      </c>
      <c r="E55" s="7">
        <f>'Lista maestra'!F28</f>
        <v/>
      </c>
      <c r="F55" s="7" t="inlineStr">
        <is>
          <t>Re-medición Ad Library</t>
        </is>
      </c>
    </row>
    <row r="56" ht="23.85" customHeight="1" s="5">
      <c r="A56" s="7" t="inlineStr">
        <is>
          <t>Geriactiva (biblioteca +1000 recursos para tercera edad)</t>
        </is>
      </c>
      <c r="B56" s="7" t="inlineStr">
        <is>
          <t>2026-10-04</t>
        </is>
      </c>
      <c r="C56" s="7" t="n">
        <v>182</v>
      </c>
      <c r="D56" s="7" t="n">
        <v>3.2</v>
      </c>
      <c r="E56" s="7">
        <f>'Lista maestra'!F29</f>
        <v/>
      </c>
      <c r="F56" s="7" t="inlineStr">
        <is>
          <t>Re-medición Ad Library</t>
        </is>
      </c>
    </row>
    <row r="57" ht="23.85" customHeight="1" s="5">
      <c r="A57" s="7" t="inlineStr">
        <is>
          <t>Šicí cirkus (patrones y cursos de costura, Chequia)</t>
        </is>
      </c>
      <c r="B57" s="7" t="inlineStr">
        <is>
          <t>2026-10-04</t>
        </is>
      </c>
      <c r="C57" s="7" t="n">
        <v>16</v>
      </c>
      <c r="D57" s="7" t="n">
        <v>167</v>
      </c>
      <c r="E57" s="7">
        <f>'Lista maestra'!F30</f>
        <v/>
      </c>
      <c r="F57" s="7" t="inlineStr">
        <is>
          <t>Re-medición Ad Library</t>
        </is>
      </c>
    </row>
    <row r="58" ht="23.85" customHeight="1" s="5">
      <c r="A58" s="7" t="inlineStr">
        <is>
          <t>OctoMaps (idiomas con mapas mentales: italiano, alemán)</t>
        </is>
      </c>
      <c r="B58" s="7" t="inlineStr">
        <is>
          <t>2026-10-04</t>
        </is>
      </c>
      <c r="C58" s="7" t="n">
        <v>25</v>
      </c>
      <c r="D58" s="7" t="n">
        <v>58.4</v>
      </c>
      <c r="E58" s="7">
        <f>'Lista maestra'!F31</f>
        <v/>
      </c>
      <c r="F58" s="7" t="inlineStr">
        <is>
          <t>Re-medición Ad Library</t>
        </is>
      </c>
    </row>
    <row r="59" ht="23.85" customHeight="1" s="5">
      <c r="A59" s="7" t="inlineStr">
        <is>
          <t>Geriactiva (biblioteca +1000 actividades para tercera edad)</t>
        </is>
      </c>
      <c r="B59" s="7" t="inlineStr">
        <is>
          <t>2026-10-04</t>
        </is>
      </c>
      <c r="C59" s="7" t="n">
        <v>181</v>
      </c>
      <c r="D59" s="7" t="n">
        <v>3.2</v>
      </c>
      <c r="E59" s="7">
        <f>'Lista maestra'!F32</f>
        <v/>
      </c>
      <c r="F59" s="7" t="inlineStr">
        <is>
          <t>Re-medición Ad Library</t>
        </is>
      </c>
    </row>
    <row r="60">
      <c r="A60" t="inlineStr">
        <is>
          <t>Angelyc's Workshop Oficial (manualidades navideñas, CLP)</t>
        </is>
      </c>
      <c r="B60" t="inlineStr">
        <is>
          <t>2026-10-05</t>
        </is>
      </c>
      <c r="C60" t="n">
        <v>56</v>
      </c>
      <c r="D60" t="n">
        <v>152.8</v>
      </c>
      <c r="E60" t="n">
        <v>73</v>
      </c>
      <c r="F60" t="inlineStr">
        <is>
          <t>Re-medición Ad Library</t>
        </is>
      </c>
    </row>
    <row r="61">
      <c r="A61" t="inlineStr">
        <is>
          <t>La Biblioteca Definitiva De Tejido</t>
        </is>
      </c>
      <c r="B61" t="inlineStr">
        <is>
          <t>2026-10-05</t>
        </is>
      </c>
      <c r="C61" t="n">
        <v>54</v>
      </c>
      <c r="D61" t="n">
        <v>36</v>
      </c>
      <c r="E61" t="n">
        <v>63</v>
      </c>
      <c r="F61" t="inlineStr">
        <is>
          <t>Re-medición + avistamiento propio 30/08</t>
        </is>
      </c>
    </row>
    <row r="62">
      <c r="A62" t="inlineStr">
        <is>
          <t>OctoMaps (idiomas con mapas mentales)</t>
        </is>
      </c>
      <c r="B62" t="inlineStr">
        <is>
          <t>2026-10-05</t>
        </is>
      </c>
      <c r="C62" t="n">
        <v>25</v>
      </c>
      <c r="D62" t="n">
        <v>58.4</v>
      </c>
      <c r="E62" t="n">
        <v>66</v>
      </c>
      <c r="F62" t="inlineStr">
        <is>
          <t>Sin re-medir hoy; dato planilla 04/10</t>
        </is>
      </c>
    </row>
    <row r="63">
      <c r="A63" t="inlineStr">
        <is>
          <t>Aprende y Emprende (moldes de cuero y bolsos)</t>
        </is>
      </c>
      <c r="B63" t="inlineStr">
        <is>
          <t>2026-10-05</t>
        </is>
      </c>
      <c r="C63" t="n">
        <v>17</v>
      </c>
      <c r="D63" t="n">
        <v>32.8</v>
      </c>
      <c r="E63" t="n">
        <v>57</v>
      </c>
      <c r="F63" t="inlineStr">
        <is>
          <t>Re-medición: CAYÓ de 33 a 17 anuncios</t>
        </is>
      </c>
    </row>
    <row r="64">
      <c r="A64" t="inlineStr">
        <is>
          <t>Pablo Gutierrez (moldes, entrante agresivo)</t>
        </is>
      </c>
      <c r="B64" t="inlineStr">
        <is>
          <t>2026-10-05</t>
        </is>
      </c>
      <c r="C64" t="n">
        <v>28</v>
      </c>
      <c r="D64" t="n">
        <v>2.3</v>
      </c>
      <c r="E64" t="n">
        <v>45</v>
      </c>
      <c r="F64" t="inlineStr">
        <is>
          <t>Nuevo entrante; ya corre en inglés</t>
        </is>
      </c>
    </row>
    <row r="65">
      <c r="A65" t="inlineStr">
        <is>
          <t>MitiendaX (clon del hook de moldes)</t>
        </is>
      </c>
      <c r="B65" t="inlineStr">
        <is>
          <t>2026-10-05</t>
        </is>
      </c>
      <c r="C65" t="n">
        <v>4</v>
      </c>
      <c r="D65" t="n">
        <v>1.1</v>
      </c>
      <c r="E65" t="n">
        <v>35</v>
      </c>
      <c r="F65" t="inlineStr">
        <is>
          <t>Clonó 'No eras vos... era el molde'</t>
        </is>
      </c>
    </row>
    <row r="66">
      <c r="A66" t="inlineStr">
        <is>
          <t>Nicho navideño completo</t>
        </is>
      </c>
      <c r="B66" t="inlineStr">
        <is>
          <t>2026-10-05</t>
        </is>
      </c>
      <c r="C66" t="n">
        <v>38</v>
      </c>
      <c r="D66" t="n">
        <v>152.8</v>
      </c>
      <c r="F66" t="inlineStr">
        <is>
          <t>13-15 anunciantes; AR 7, ES 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" customWidth="1" style="5" min="1" max="1"/>
    <col width="52" customWidth="1" style="5" min="2" max="2"/>
    <col width="8" customWidth="1" style="5" min="3" max="3"/>
    <col width="20" customWidth="1" style="5" min="4" max="4"/>
    <col width="15" customWidth="1" style="5" min="5" max="5"/>
    <col width="10" customWidth="1" style="5" min="6" max="6"/>
    <col width="16" customWidth="1" style="5" min="7" max="7"/>
    <col width="70" customWidth="1" style="5" min="8" max="8"/>
    <col width="24" customWidth="1" style="5" min="9" max="9"/>
    <col width="60" customWidth="1" style="5" min="10" max="10"/>
  </cols>
  <sheetData>
    <row r="1">
      <c r="A1" s="9" t="inlineStr">
        <is>
          <t>#</t>
        </is>
      </c>
      <c r="B1" s="9" t="inlineStr">
        <is>
          <t>Producto</t>
        </is>
      </c>
      <c r="C1" s="9" t="inlineStr">
        <is>
          <t>Score</t>
        </is>
      </c>
      <c r="D1" s="9" t="inlineStr">
        <is>
          <t>Veredicto</t>
        </is>
      </c>
      <c r="E1" s="9" t="inlineStr">
        <is>
          <t>Antigüedad (d)</t>
        </is>
      </c>
      <c r="F1" s="9" t="inlineStr">
        <is>
          <t>Anuncios</t>
        </is>
      </c>
      <c r="G1" s="9" t="inlineStr">
        <is>
          <t>Competidores</t>
        </is>
      </c>
      <c r="H1" s="9" t="inlineStr">
        <is>
          <t>Por qué</t>
        </is>
      </c>
      <c r="I1" s="9" t="inlineStr">
        <is>
          <t>Mercado</t>
        </is>
      </c>
      <c r="J1" s="9" t="inlineStr">
        <is>
          <t>Riesgo</t>
        </is>
      </c>
    </row>
    <row r="2">
      <c r="A2" t="n">
        <v>1</v>
      </c>
      <c r="B2" t="inlineStr">
        <is>
          <t>Navidad / manualidades navideñas (modelo: Angelyc's Workshop)</t>
        </is>
      </c>
      <c r="C2" t="n">
        <v>73</v>
      </c>
      <c r="D2" t="inlineStr">
        <is>
          <t>🟢 GANADOR</t>
        </is>
      </c>
      <c r="E2" t="n">
        <v>152.8</v>
      </c>
      <c r="F2" t="n">
        <v>56</v>
      </c>
      <c r="G2" t="inlineStr">
        <is>
          <t>13-15 en el nicho</t>
        </is>
      </c>
      <c r="H2" t="inlineStr">
        <is>
          <t>153 días corriendo + ventana estacional abierta ahora. En AR y ES el nicho está casi vacío: 7 y 6 anuncios, y la mayoría son de ellos.</t>
        </is>
      </c>
      <c r="I2" t="inlineStr">
        <is>
          <t>Argentina y España</t>
        </is>
      </c>
      <c r="J2" t="inlineStr">
        <is>
          <t>Ventana cierra el 24/12. Hay que lanzar en 2 semanas o se pierde el año.</t>
        </is>
      </c>
    </row>
    <row r="3">
      <c r="A3" t="n">
        <v>2</v>
      </c>
      <c r="B3" t="inlineStr">
        <is>
          <t>La Biblioteca Definitiva De Tejido (+5200 patrones)</t>
        </is>
      </c>
      <c r="C3" t="n">
        <v>63</v>
      </c>
      <c r="D3" t="inlineStr">
        <is>
          <t>🟢 GANADOR</t>
        </is>
      </c>
      <c r="E3" t="n">
        <v>36</v>
      </c>
      <c r="F3" t="n">
        <v>54</v>
      </c>
      <c r="G3" t="inlineStr">
        <is>
          <t>2</t>
        </is>
      </c>
      <c r="H3" t="inlineStr">
        <is>
          <t>Yo mismo vi esta página con el mismo creativo el 30/08: 36 días verificados, no 21. Solo 2 competidores. Octubre = empieza temporada de lana en el hemisferio norte.</t>
        </is>
      </c>
      <c r="I3" t="inlineStr">
        <is>
          <t>España y México</t>
        </is>
      </c>
      <c r="J3" t="inlineStr">
        <is>
          <t>Ticket bajo y producto fácil de piratear. Vive del volumen de creativos.</t>
        </is>
      </c>
    </row>
    <row r="4">
      <c r="A4" t="n">
        <v>3</v>
      </c>
      <c r="B4" t="inlineStr">
        <is>
          <t>OctoMaps (idiomas con mapas mentales)</t>
        </is>
      </c>
      <c r="C4" t="n">
        <v>66</v>
      </c>
      <c r="D4" t="inlineStr">
        <is>
          <t>🟢 GANADOR</t>
        </is>
      </c>
      <c r="E4" t="n">
        <v>58.4</v>
      </c>
      <c r="F4" t="n">
        <v>25</v>
      </c>
      <c r="G4" t="inlineStr">
        <is>
          <t>2</t>
        </is>
      </c>
      <c r="H4" t="inlineStr">
        <is>
          <t>La antigüedad más alta entre los de score alto (58 días) con solo 2 clones. Es el más validado en el tiempo de toda la planilla.</t>
        </is>
      </c>
      <c r="I4" t="inlineStr">
        <is>
          <t>Argentina, México, España</t>
        </is>
      </c>
      <c r="J4" t="inlineStr">
        <is>
          <t>Avatar nuevo para vos: no es manualidades. Tenés que construir el producto desde cero.</t>
        </is>
      </c>
    </row>
    <row r="6">
      <c r="A6" t="inlineStr">
        <is>
          <t>—</t>
        </is>
      </c>
      <c r="B6" t="inlineStr">
        <is>
          <t>DESCARTADO de la prioridad #1 de la planilla:</t>
        </is>
      </c>
    </row>
    <row r="7">
      <c r="A7" t="inlineStr">
        <is>
          <t>✗</t>
        </is>
      </c>
      <c r="B7" t="inlineStr">
        <is>
          <t>Aprende y Emprende (moldes de cuero y bolsos)</t>
        </is>
      </c>
      <c r="C7" t="n">
        <v>57</v>
      </c>
      <c r="D7" t="inlineStr">
        <is>
          <t>🔴 NO ENTRAR AHORA</t>
        </is>
      </c>
      <c r="E7" t="n">
        <v>32.8</v>
      </c>
      <c r="F7" t="n">
        <v>17</v>
      </c>
      <c r="G7" t="inlineStr">
        <is>
          <t>6+</t>
        </is>
      </c>
      <c r="H7" t="inlineStr">
        <is>
          <t>Cayó de 33 a 17 anuncios en un día. Mientras tanto Pablo Gutierrez lanzó 28 anuncios en 2 días y MitiendaX clonó el hook textual ('No eras vos... era el molde') hace 1 día. Guerra de clones con el original apagándose.</t>
        </is>
      </c>
      <c r="I7" t="inlineStr">
        <is>
          <t>—</t>
        </is>
      </c>
      <c r="J7" t="inlineStr">
        <is>
          <t>Entrar hoy es pelear contra un entrante con más presupuesto en un nicho que el original está abandonando.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2026-10-04T13:56:40Z</dcterms:created>
  <dcterms:modified xsi:type="dcterms:W3CDTF">2026-10-05T13:25:41Z</dcterms:modified>
  <cp:revision>0</cp:revision>
</cp:coreProperties>
</file>